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 Park\Desktop\"/>
    </mc:Choice>
  </mc:AlternateContent>
  <xr:revisionPtr revIDLastSave="0" documentId="13_ncr:1_{6C560949-352C-4AA6-9530-ABDE25801B90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Sheet1" sheetId="1" r:id="rId1"/>
  </sheets>
  <definedNames>
    <definedName name="_xlnm._FilterDatabase" localSheetId="0" hidden="1">Sheet1!$A$2:$Q$72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" i="1" l="1"/>
  <c r="V1" i="1"/>
  <c r="U1" i="1"/>
  <c r="S1" i="1"/>
  <c r="N1" i="1"/>
  <c r="P1" i="1"/>
  <c r="T46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S67" i="1"/>
  <c r="S66" i="1"/>
  <c r="S65" i="1"/>
  <c r="S59" i="1"/>
  <c r="S58" i="1"/>
  <c r="S57" i="1"/>
  <c r="S51" i="1"/>
  <c r="S50" i="1"/>
  <c r="S49" i="1"/>
  <c r="S43" i="1"/>
  <c r="S42" i="1"/>
  <c r="S41" i="1"/>
  <c r="S35" i="1"/>
  <c r="S34" i="1"/>
  <c r="S33" i="1"/>
  <c r="S27" i="1"/>
  <c r="S26" i="1"/>
  <c r="S25" i="1"/>
  <c r="S19" i="1"/>
  <c r="S18" i="1"/>
  <c r="S17" i="1"/>
  <c r="S11" i="1"/>
  <c r="S10" i="1"/>
  <c r="S9" i="1"/>
  <c r="S3" i="1"/>
  <c r="R72" i="1"/>
  <c r="S72" i="1" s="1"/>
  <c r="R71" i="1"/>
  <c r="S71" i="1" s="1"/>
  <c r="R70" i="1"/>
  <c r="S70" i="1" s="1"/>
  <c r="R69" i="1"/>
  <c r="S69" i="1" s="1"/>
  <c r="R68" i="1"/>
  <c r="S68" i="1" s="1"/>
  <c r="R67" i="1"/>
  <c r="R66" i="1"/>
  <c r="R65" i="1"/>
  <c r="R64" i="1"/>
  <c r="S64" i="1" s="1"/>
  <c r="R63" i="1"/>
  <c r="S63" i="1" s="1"/>
  <c r="R62" i="1"/>
  <c r="S62" i="1" s="1"/>
  <c r="R61" i="1"/>
  <c r="S61" i="1" s="1"/>
  <c r="R60" i="1"/>
  <c r="S60" i="1" s="1"/>
  <c r="R59" i="1"/>
  <c r="R58" i="1"/>
  <c r="R57" i="1"/>
  <c r="R56" i="1"/>
  <c r="S56" i="1" s="1"/>
  <c r="R55" i="1"/>
  <c r="S55" i="1" s="1"/>
  <c r="R54" i="1"/>
  <c r="S54" i="1" s="1"/>
  <c r="R53" i="1"/>
  <c r="S53" i="1" s="1"/>
  <c r="R52" i="1"/>
  <c r="S52" i="1" s="1"/>
  <c r="R51" i="1"/>
  <c r="R50" i="1"/>
  <c r="R49" i="1"/>
  <c r="R48" i="1"/>
  <c r="S48" i="1" s="1"/>
  <c r="R47" i="1"/>
  <c r="S47" i="1" s="1"/>
  <c r="R46" i="1"/>
  <c r="S46" i="1" s="1"/>
  <c r="R45" i="1"/>
  <c r="S45" i="1" s="1"/>
  <c r="R44" i="1"/>
  <c r="S44" i="1" s="1"/>
  <c r="R43" i="1"/>
  <c r="R42" i="1"/>
  <c r="R41" i="1"/>
  <c r="R40" i="1"/>
  <c r="S40" i="1" s="1"/>
  <c r="R39" i="1"/>
  <c r="S39" i="1" s="1"/>
  <c r="R38" i="1"/>
  <c r="S38" i="1" s="1"/>
  <c r="R37" i="1"/>
  <c r="S37" i="1" s="1"/>
  <c r="R36" i="1"/>
  <c r="S36" i="1" s="1"/>
  <c r="R35" i="1"/>
  <c r="R34" i="1"/>
  <c r="R33" i="1"/>
  <c r="R32" i="1"/>
  <c r="S32" i="1" s="1"/>
  <c r="R31" i="1"/>
  <c r="S31" i="1" s="1"/>
  <c r="R30" i="1"/>
  <c r="S30" i="1" s="1"/>
  <c r="R29" i="1"/>
  <c r="S29" i="1" s="1"/>
  <c r="R28" i="1"/>
  <c r="S28" i="1" s="1"/>
  <c r="R27" i="1"/>
  <c r="R26" i="1"/>
  <c r="R25" i="1"/>
  <c r="R24" i="1"/>
  <c r="S24" i="1" s="1"/>
  <c r="R23" i="1"/>
  <c r="S23" i="1" s="1"/>
  <c r="R22" i="1"/>
  <c r="S22" i="1" s="1"/>
  <c r="R21" i="1"/>
  <c r="S21" i="1" s="1"/>
  <c r="R20" i="1"/>
  <c r="S20" i="1" s="1"/>
  <c r="R19" i="1"/>
  <c r="R18" i="1"/>
  <c r="R17" i="1"/>
  <c r="R16" i="1"/>
  <c r="S16" i="1" s="1"/>
  <c r="R15" i="1"/>
  <c r="S15" i="1" s="1"/>
  <c r="R14" i="1"/>
  <c r="S14" i="1" s="1"/>
  <c r="R13" i="1"/>
  <c r="S13" i="1" s="1"/>
  <c r="R12" i="1"/>
  <c r="S12" i="1" s="1"/>
  <c r="R11" i="1"/>
  <c r="R10" i="1"/>
  <c r="R9" i="1"/>
  <c r="R8" i="1"/>
  <c r="S8" i="1" s="1"/>
  <c r="R7" i="1"/>
  <c r="S7" i="1" s="1"/>
  <c r="R6" i="1"/>
  <c r="S6" i="1" s="1"/>
  <c r="R5" i="1"/>
  <c r="S5" i="1" s="1"/>
  <c r="R4" i="1"/>
  <c r="S4" i="1" s="1"/>
  <c r="R3" i="1"/>
  <c r="P59" i="1"/>
  <c r="P58" i="1"/>
  <c r="P57" i="1"/>
  <c r="P56" i="1"/>
  <c r="P47" i="1"/>
  <c r="P30" i="1"/>
  <c r="P29" i="1"/>
  <c r="P28" i="1"/>
  <c r="P27" i="1"/>
  <c r="P26" i="1"/>
  <c r="P25" i="1"/>
  <c r="P24" i="1"/>
  <c r="P23" i="1"/>
  <c r="P22" i="1"/>
  <c r="P15" i="1"/>
  <c r="P14" i="1"/>
  <c r="P13" i="1"/>
  <c r="P12" i="1"/>
  <c r="P4" i="1"/>
  <c r="P3" i="1"/>
  <c r="P45" i="1"/>
  <c r="P43" i="1"/>
  <c r="P42" i="1"/>
  <c r="P55" i="1"/>
  <c r="P41" i="1"/>
  <c r="P40" i="1"/>
  <c r="P72" i="1"/>
  <c r="P71" i="1"/>
  <c r="P70" i="1"/>
  <c r="P54" i="1"/>
  <c r="P16" i="1"/>
  <c r="P21" i="1"/>
  <c r="P20" i="1"/>
  <c r="P69" i="1"/>
  <c r="P68" i="1"/>
  <c r="P67" i="1"/>
  <c r="P66" i="1"/>
  <c r="P53" i="1"/>
  <c r="P39" i="1"/>
  <c r="P38" i="1"/>
  <c r="P37" i="1"/>
  <c r="P36" i="1"/>
  <c r="P35" i="1"/>
  <c r="P52" i="1"/>
  <c r="P51" i="1"/>
  <c r="P11" i="1"/>
  <c r="P10" i="1"/>
  <c r="P9" i="1"/>
  <c r="P8" i="1"/>
  <c r="P7" i="1"/>
  <c r="P6" i="1"/>
  <c r="P19" i="1"/>
  <c r="P18" i="1"/>
  <c r="P17" i="1"/>
  <c r="P44" i="1"/>
  <c r="P65" i="1"/>
  <c r="P64" i="1"/>
  <c r="P5" i="1"/>
  <c r="P34" i="1"/>
  <c r="P33" i="1"/>
  <c r="P50" i="1"/>
  <c r="P49" i="1"/>
  <c r="P63" i="1"/>
  <c r="P62" i="1"/>
  <c r="P61" i="1"/>
  <c r="P48" i="1"/>
  <c r="P60" i="1"/>
  <c r="P32" i="1"/>
  <c r="P31" i="1"/>
  <c r="U46" i="1"/>
  <c r="V46" i="1"/>
  <c r="W46" i="1"/>
  <c r="P46" i="1"/>
</calcChain>
</file>

<file path=xl/sharedStrings.xml><?xml version="1.0" encoding="utf-8"?>
<sst xmlns="http://schemas.openxmlformats.org/spreadsheetml/2006/main" count="802" uniqueCount="271">
  <si>
    <t>Buyer Part No</t>
  </si>
  <si>
    <t>H Class</t>
  </si>
  <si>
    <t>K Class</t>
  </si>
  <si>
    <t>Company</t>
  </si>
  <si>
    <t>Car Code</t>
  </si>
  <si>
    <t>Car Name</t>
  </si>
  <si>
    <t>Ordered Part No</t>
  </si>
  <si>
    <t>CLASS</t>
  </si>
  <si>
    <t>Part Name Eng</t>
  </si>
  <si>
    <t>23133-2B000</t>
  </si>
  <si>
    <t>E1</t>
  </si>
  <si>
    <t>B1</t>
  </si>
  <si>
    <t>C</t>
  </si>
  <si>
    <t>G20</t>
  </si>
  <si>
    <t>IONIQ(AE) 16-</t>
  </si>
  <si>
    <t>231332B000</t>
  </si>
  <si>
    <t>PILOT BEARING-CRANK</t>
  </si>
  <si>
    <t>25500-23010</t>
  </si>
  <si>
    <t>ZZ</t>
  </si>
  <si>
    <t>A1</t>
  </si>
  <si>
    <t>0J0</t>
  </si>
  <si>
    <t>VERNA-HYBRID(MC/-SEP 2006)</t>
  </si>
  <si>
    <t>2550023010</t>
  </si>
  <si>
    <t>THERMOSTAT ASSY</t>
  </si>
  <si>
    <t>56825-BE000</t>
  </si>
  <si>
    <t>IR</t>
  </si>
  <si>
    <t>BE0</t>
  </si>
  <si>
    <t>56825BE000</t>
  </si>
  <si>
    <t>END ASSY-TIE ROD,RH</t>
  </si>
  <si>
    <t>56820-BE000</t>
  </si>
  <si>
    <t>56820BE000</t>
  </si>
  <si>
    <t>END ASSY-TIE ROD,LH</t>
  </si>
  <si>
    <t>E2</t>
  </si>
  <si>
    <t>A3</t>
  </si>
  <si>
    <t>2H0</t>
  </si>
  <si>
    <t>AVANTE HD 06MY(-SEP)</t>
  </si>
  <si>
    <t>E4</t>
  </si>
  <si>
    <t>H</t>
  </si>
  <si>
    <t>S10</t>
  </si>
  <si>
    <t>C1</t>
  </si>
  <si>
    <t>21350-2B000</t>
  </si>
  <si>
    <t>IN</t>
  </si>
  <si>
    <t>A2</t>
  </si>
  <si>
    <t>213502B000</t>
  </si>
  <si>
    <t>COVER ASSY-TIMING CHAIN &amp; OIL PUMP</t>
  </si>
  <si>
    <t>K</t>
  </si>
  <si>
    <t>FR</t>
  </si>
  <si>
    <t>21350-2E350</t>
  </si>
  <si>
    <t>2S0</t>
  </si>
  <si>
    <t>TUCSON IX(LM) 10-13</t>
  </si>
  <si>
    <t>213502E350</t>
  </si>
  <si>
    <t>39210-2B310</t>
  </si>
  <si>
    <t>EJ</t>
  </si>
  <si>
    <t>F20</t>
  </si>
  <si>
    <t>AVANTE(AD) 16-</t>
  </si>
  <si>
    <t>392102B310</t>
  </si>
  <si>
    <t>SENSOR ASSY-OXYGEN</t>
  </si>
  <si>
    <t>24355-2B700</t>
  </si>
  <si>
    <t>243552B700</t>
  </si>
  <si>
    <t>OIL CONTROL VALVE ASSY</t>
  </si>
  <si>
    <t>39350-2B030</t>
  </si>
  <si>
    <t>E5</t>
  </si>
  <si>
    <t>393502B030</t>
  </si>
  <si>
    <t>SENSOR-CAMSHAFT POSITION</t>
  </si>
  <si>
    <t>27301-2M417</t>
  </si>
  <si>
    <t>EH</t>
  </si>
  <si>
    <t>L10</t>
  </si>
  <si>
    <t>273012M417</t>
  </si>
  <si>
    <t>COIL ASSY-IGNITION</t>
  </si>
  <si>
    <t>22441-2B610</t>
  </si>
  <si>
    <t>BW</t>
  </si>
  <si>
    <t>224412B610</t>
  </si>
  <si>
    <t>GASKET-ROCKER COVER</t>
  </si>
  <si>
    <t>22441-2M810</t>
  </si>
  <si>
    <t>224412M810</t>
  </si>
  <si>
    <t>22441-2S000</t>
  </si>
  <si>
    <t>G80</t>
  </si>
  <si>
    <t>GRANDUER(IG) 17MY</t>
  </si>
  <si>
    <t>224412S000</t>
  </si>
  <si>
    <t>22441-42910</t>
  </si>
  <si>
    <t>4F0</t>
  </si>
  <si>
    <t>PORTER2(HR) 06MY(-OCT)</t>
  </si>
  <si>
    <t>2244142910</t>
  </si>
  <si>
    <t>22441-23800</t>
  </si>
  <si>
    <t>2C0</t>
  </si>
  <si>
    <t>TUSCANI 01MY(-SEP 2006)</t>
  </si>
  <si>
    <t>2244123800</t>
  </si>
  <si>
    <t>41200-2D220</t>
  </si>
  <si>
    <t>C3</t>
  </si>
  <si>
    <t>A4</t>
  </si>
  <si>
    <t>J90</t>
  </si>
  <si>
    <t>KONA18-</t>
  </si>
  <si>
    <t>412002D220</t>
  </si>
  <si>
    <t>SET-DOUBLE CLUTCH</t>
  </si>
  <si>
    <t>41200-2D500</t>
  </si>
  <si>
    <t>AA0</t>
  </si>
  <si>
    <t>412002D500</t>
  </si>
  <si>
    <t>D30</t>
  </si>
  <si>
    <t>TUCSON(TL) 15-</t>
  </si>
  <si>
    <t>E70</t>
  </si>
  <si>
    <t>GRANDEUR(HYBRID) 14-</t>
  </si>
  <si>
    <t>21443-2B000</t>
  </si>
  <si>
    <t>A50</t>
  </si>
  <si>
    <t>I30(GD) 12MY</t>
  </si>
  <si>
    <t>214432B020</t>
  </si>
  <si>
    <t>SEAL-OIL RR</t>
  </si>
  <si>
    <t>21421-2B020</t>
  </si>
  <si>
    <t>C10</t>
  </si>
  <si>
    <t>SONATA-LF 14-</t>
  </si>
  <si>
    <t>214212B030</t>
  </si>
  <si>
    <t>SEAL-OIL</t>
  </si>
  <si>
    <t>45245-26210</t>
  </si>
  <si>
    <t>G4</t>
  </si>
  <si>
    <t>4524526210</t>
  </si>
  <si>
    <t>210</t>
  </si>
  <si>
    <t>EXCEL-1(X-1)</t>
  </si>
  <si>
    <t>4613136002</t>
  </si>
  <si>
    <t>No.</t>
    <phoneticPr fontId="2" type="noConversion"/>
  </si>
  <si>
    <t>CODE</t>
    <phoneticPr fontId="2" type="noConversion"/>
  </si>
  <si>
    <t>G</t>
    <phoneticPr fontId="2" type="noConversion"/>
  </si>
  <si>
    <t>A</t>
  </si>
  <si>
    <t>U</t>
  </si>
  <si>
    <t>■</t>
  </si>
  <si>
    <t>□</t>
  </si>
  <si>
    <t>PRICE</t>
    <phoneticPr fontId="2" type="noConversion"/>
  </si>
  <si>
    <t>QTY REQ</t>
  </si>
  <si>
    <t>2244103140</t>
  </si>
  <si>
    <t>H80</t>
  </si>
  <si>
    <t>RIO 2016-</t>
  </si>
  <si>
    <t>224412B801</t>
  </si>
  <si>
    <t>1M0</t>
  </si>
  <si>
    <t>FORTE/FORTE KOUP(TD) 08-13</t>
  </si>
  <si>
    <t>555133N100</t>
  </si>
  <si>
    <t>C6</t>
  </si>
  <si>
    <t>3N0</t>
  </si>
  <si>
    <t>EQUUS(VI) 09-</t>
  </si>
  <si>
    <t>BUSH-STABILIZER BAR</t>
  </si>
  <si>
    <t>230402BCA0</t>
  </si>
  <si>
    <t>BR</t>
  </si>
  <si>
    <t>RING SET-PISTON</t>
  </si>
  <si>
    <t>452453B311</t>
  </si>
  <si>
    <t>4524526110</t>
  </si>
  <si>
    <t>0K60A26157</t>
  </si>
  <si>
    <t>C0</t>
  </si>
  <si>
    <t>K9958555782</t>
  </si>
  <si>
    <t>SEAL-OIL,INR</t>
  </si>
  <si>
    <t>2132142042</t>
  </si>
  <si>
    <t>2L0</t>
  </si>
  <si>
    <t>I30(JD)/I30CW 07-</t>
  </si>
  <si>
    <t>214434X000</t>
  </si>
  <si>
    <t>H10</t>
  </si>
  <si>
    <t>TERRACAN(HP)</t>
  </si>
  <si>
    <t>0K60A28330</t>
  </si>
  <si>
    <t>BUSH-RUBBER</t>
  </si>
  <si>
    <t>3918025300</t>
  </si>
  <si>
    <t>SENSOR-CRANKSHAFT POSITION</t>
  </si>
  <si>
    <t>3935025010</t>
  </si>
  <si>
    <t>9771328240</t>
  </si>
  <si>
    <t>CC</t>
  </si>
  <si>
    <t>O</t>
  </si>
  <si>
    <t>BELT"V"</t>
  </si>
  <si>
    <t>264102B740</t>
  </si>
  <si>
    <t>MT</t>
  </si>
  <si>
    <t>△</t>
  </si>
  <si>
    <t>2V0</t>
  </si>
  <si>
    <t>VELOSTER(FS) 11-</t>
  </si>
  <si>
    <t>COOLER ASSY-ENG OIL</t>
  </si>
  <si>
    <t>25485L1100</t>
  </si>
  <si>
    <t>CONNECTOR</t>
  </si>
  <si>
    <t>25485C1500</t>
  </si>
  <si>
    <t>56540N9000</t>
  </si>
  <si>
    <t>N90</t>
  </si>
  <si>
    <t>ROD ASSY-TIE</t>
  </si>
  <si>
    <t>56820K4000</t>
  </si>
  <si>
    <t>K40</t>
  </si>
  <si>
    <t>KONA</t>
  </si>
  <si>
    <t>56825K4090</t>
  </si>
  <si>
    <t>546111W000</t>
  </si>
  <si>
    <t>1W0</t>
  </si>
  <si>
    <t>PRIDE(UB) 12-</t>
  </si>
  <si>
    <t>INSULATOR ASSY-STRUT</t>
  </si>
  <si>
    <t>54611H8000</t>
  </si>
  <si>
    <t>INSULATOR ASSY-STRUT,LH</t>
  </si>
  <si>
    <t>54611H6000</t>
  </si>
  <si>
    <t>K21</t>
  </si>
  <si>
    <t>935813W000</t>
  </si>
  <si>
    <t>IK</t>
  </si>
  <si>
    <t>3W0</t>
  </si>
  <si>
    <t>SPORTAGE R(SL) 10-13</t>
  </si>
  <si>
    <t>UNIT ASSY-POWER WINDOW SUB</t>
  </si>
  <si>
    <t>925014E001</t>
  </si>
  <si>
    <t>IA</t>
  </si>
  <si>
    <t>Z10</t>
  </si>
  <si>
    <t>LAMP ASSY-LICENSE PLATE</t>
  </si>
  <si>
    <t>209102FU01</t>
  </si>
  <si>
    <t>B2</t>
  </si>
  <si>
    <t>2B0</t>
  </si>
  <si>
    <t>SANTAFE(CM) 05MY(-SEP 2006)</t>
  </si>
  <si>
    <t>GASKET KIT-ENGINE OVERHAUL</t>
  </si>
  <si>
    <t>209102FU00</t>
  </si>
  <si>
    <t>209102GL02</t>
  </si>
  <si>
    <t>209102BU06</t>
  </si>
  <si>
    <t>209102BG00A</t>
  </si>
  <si>
    <t>1R0</t>
  </si>
  <si>
    <t>ACCENT(RB) 11MY</t>
  </si>
  <si>
    <t>545512S000</t>
  </si>
  <si>
    <t>C4</t>
  </si>
  <si>
    <t>BUSH-LWR ARM</t>
  </si>
  <si>
    <t>473634D000</t>
  </si>
  <si>
    <t>G5</t>
  </si>
  <si>
    <t>553302S150</t>
  </si>
  <si>
    <t>BRACKET-SHOCK ABSORBER MTG</t>
  </si>
  <si>
    <t>461313B600</t>
  </si>
  <si>
    <t>81720G5000</t>
  </si>
  <si>
    <t>XX</t>
  </si>
  <si>
    <t>G50</t>
  </si>
  <si>
    <t>NIRO 17-</t>
  </si>
  <si>
    <t>HANDLE ASSY-TAIL GATE</t>
  </si>
  <si>
    <t>826504E040</t>
  </si>
  <si>
    <t>T1</t>
  </si>
  <si>
    <t>☆</t>
  </si>
  <si>
    <t>BG3</t>
  </si>
  <si>
    <t>BONGO3(-OCT 2006)</t>
  </si>
  <si>
    <t>HANDLE ASSY-FRONT DOOR OUTSIDE</t>
  </si>
  <si>
    <t>826604E040</t>
  </si>
  <si>
    <t>HANDLE ASSY-FR DR O/S RH</t>
  </si>
  <si>
    <t>55310S1150</t>
  </si>
  <si>
    <t>MN</t>
  </si>
  <si>
    <t>▲</t>
  </si>
  <si>
    <t>C2</t>
  </si>
  <si>
    <t>INSULATOR-STRUT</t>
  </si>
  <si>
    <t>93600C5310WK</t>
  </si>
  <si>
    <t>C50</t>
  </si>
  <si>
    <t>SORENTO(UM) 15-</t>
  </si>
  <si>
    <t>SWITCH COMPLETE</t>
  </si>
  <si>
    <t>82460G2020</t>
  </si>
  <si>
    <t>IJ</t>
  </si>
  <si>
    <t>MOTOR ASSY-FRONT POWER WDW,RH</t>
  </si>
  <si>
    <t>353102B150</t>
  </si>
  <si>
    <t>EK</t>
  </si>
  <si>
    <t>INJECTOR ASSY-FUEL</t>
  </si>
  <si>
    <t>353102B350</t>
  </si>
  <si>
    <t>282402F600</t>
  </si>
  <si>
    <t>3V0</t>
  </si>
  <si>
    <t>GRANDEUR HG 11-</t>
  </si>
  <si>
    <t>PIPE ASSY-OIL FEED</t>
  </si>
  <si>
    <t>224102M810</t>
  </si>
  <si>
    <t>COVER ASSY-ROCKER</t>
  </si>
  <si>
    <t>517194E100</t>
  </si>
  <si>
    <t>4E0</t>
  </si>
  <si>
    <t>CAP-HUB</t>
  </si>
  <si>
    <t>223112B610</t>
  </si>
  <si>
    <t>GASKET-CYLINDER HEAD</t>
  </si>
  <si>
    <t>2244103HA0</t>
  </si>
  <si>
    <t>1885510060</t>
  </si>
  <si>
    <t>HH</t>
  </si>
  <si>
    <t>PLUG ASSY-SPARK</t>
  </si>
  <si>
    <t>Amount</t>
    <phoneticPr fontId="2" type="noConversion"/>
  </si>
  <si>
    <t>58101-P2A00</t>
  </si>
  <si>
    <t>58101P2A00</t>
  </si>
  <si>
    <t>PAD KIT-FRONT DISC BRAKE</t>
  </si>
  <si>
    <t>IP</t>
  </si>
  <si>
    <t>Supply No.</t>
    <phoneticPr fontId="2" type="noConversion"/>
  </si>
  <si>
    <t>도매가</t>
    <phoneticPr fontId="2" type="noConversion"/>
  </si>
  <si>
    <t>구매가</t>
    <phoneticPr fontId="2" type="noConversion"/>
  </si>
  <si>
    <t>구매금액</t>
    <phoneticPr fontId="2" type="noConversion"/>
  </si>
  <si>
    <t>판매가</t>
    <phoneticPr fontId="2" type="noConversion"/>
  </si>
  <si>
    <t>판매금액</t>
    <phoneticPr fontId="2" type="noConversion"/>
  </si>
  <si>
    <t>마진</t>
    <phoneticPr fontId="2" type="noConversion"/>
  </si>
  <si>
    <t>마진율</t>
    <phoneticPr fontId="2" type="noConversion"/>
  </si>
  <si>
    <t xml:space="preserve">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</si>
</sst>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.00_-;\-* #,##0.0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3" fillId="0" borderId="0" xfId="0" applyFont="1">
      <alignment vertical="center"/>
    </xf>
    <xf numFmtId="41" fontId="3" fillId="0" borderId="0" xfId="1" applyFont="1">
      <alignment vertical="center"/>
    </xf>
    <xf numFmtId="176" fontId="3" fillId="0" borderId="0" xfId="1" applyNumberFormat="1" applyFont="1">
      <alignment vertical="center"/>
    </xf>
    <xf numFmtId="0" fontId="3" fillId="0" borderId="1" xfId="0" applyFont="1" applyBorder="1">
      <alignment vertical="center"/>
    </xf>
    <xf numFmtId="176" fontId="3" fillId="0" borderId="1" xfId="1" applyNumberFormat="1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176" fontId="3" fillId="0" borderId="1" xfId="1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1" fontId="3" fillId="0" borderId="1" xfId="1" applyNumberFormat="1" applyFont="1" applyBorder="1">
      <alignment vertical="center"/>
    </xf>
    <xf numFmtId="1" fontId="3" fillId="0" borderId="0" xfId="1" applyNumberFormat="1" applyFo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0" fontId="3" fillId="0" borderId="0" xfId="2" applyNumberFormat="1" applyFont="1">
      <alignment vertical="center"/>
    </xf>
    <xf numFmtId="10" fontId="3" fillId="0" borderId="0" xfId="2" applyNumberFormat="1" applyFont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2"/>
  <sheetViews>
    <sheetView tabSelected="1" workbookViewId="0">
      <selection activeCell="M28" sqref="M28"/>
    </sheetView>
  </sheetViews>
  <sheetFormatPr defaultColWidth="8.8984375" defaultRowHeight="13.2" x14ac:dyDescent="0.4"/>
  <cols>
    <col min="1" max="1" width="8.8984375" style="1"/>
    <col min="2" max="2" width="14.296875" style="1" customWidth="1"/>
    <col min="3" max="10" width="8.8984375" style="1"/>
    <col min="11" max="11" width="12.59765625" style="13" bestFit="1" customWidth="1"/>
    <col min="12" max="12" width="8.8984375" style="1"/>
    <col min="13" max="13" width="32" style="1" bestFit="1" customWidth="1"/>
    <col min="14" max="14" width="8.8984375" style="11"/>
    <col min="15" max="15" width="8.8984375" style="3"/>
    <col min="16" max="16" width="11.8984375" style="3" bestFit="1" customWidth="1"/>
    <col min="17" max="22" width="8.8984375" style="1"/>
    <col min="23" max="23" width="8.8984375" style="14"/>
    <col min="24" max="16384" width="8.8984375" style="1"/>
  </cols>
  <sheetData>
    <row r="1" spans="1:23" x14ac:dyDescent="0.4">
      <c r="N1" s="2">
        <f>+SUBTOTAL(9,N3:N72)</f>
        <v>4504</v>
      </c>
      <c r="P1" s="3">
        <f>+SUBTOTAL(9,P3:P72)</f>
        <v>29694.299999999996</v>
      </c>
      <c r="S1" s="2">
        <f>+SUBTOTAL(9,S3:S72)</f>
        <v>32117032</v>
      </c>
      <c r="T1" s="1">
        <v>1400</v>
      </c>
      <c r="U1" s="2">
        <f>+SUBTOTAL(9,U3:U72)</f>
        <v>41572020</v>
      </c>
      <c r="V1" s="2">
        <f>+SUBTOTAL(9,V3:V72)</f>
        <v>9454988</v>
      </c>
      <c r="W1" s="14">
        <f>+V1/U1</f>
        <v>0.22743633819092746</v>
      </c>
    </row>
    <row r="2" spans="1:23" s="8" customFormat="1" x14ac:dyDescent="0.4">
      <c r="A2" s="6" t="s">
        <v>117</v>
      </c>
      <c r="B2" s="6" t="s">
        <v>0</v>
      </c>
      <c r="C2" s="6" t="s">
        <v>118</v>
      </c>
      <c r="D2" s="6" t="s">
        <v>119</v>
      </c>
      <c r="E2" s="6" t="s">
        <v>1</v>
      </c>
      <c r="F2" s="6" t="s">
        <v>2</v>
      </c>
      <c r="G2" s="6" t="s">
        <v>3</v>
      </c>
      <c r="H2" s="6" t="s">
        <v>4</v>
      </c>
      <c r="I2" s="6" t="s">
        <v>5</v>
      </c>
      <c r="J2" s="6" t="s">
        <v>6</v>
      </c>
      <c r="K2" s="12" t="s">
        <v>262</v>
      </c>
      <c r="L2" s="6" t="s">
        <v>7</v>
      </c>
      <c r="M2" s="6" t="s">
        <v>8</v>
      </c>
      <c r="N2" s="9" t="s">
        <v>125</v>
      </c>
      <c r="O2" s="7" t="s">
        <v>124</v>
      </c>
      <c r="P2" s="7" t="s">
        <v>257</v>
      </c>
      <c r="Q2" s="8" t="s">
        <v>263</v>
      </c>
      <c r="R2" s="8" t="s">
        <v>264</v>
      </c>
      <c r="S2" s="8" t="s">
        <v>265</v>
      </c>
      <c r="T2" s="8" t="s">
        <v>266</v>
      </c>
      <c r="U2" s="8" t="s">
        <v>267</v>
      </c>
      <c r="V2" s="8" t="s">
        <v>268</v>
      </c>
      <c r="W2" s="15" t="s">
        <v>269</v>
      </c>
    </row>
    <row r="3" spans="1:23" x14ac:dyDescent="0.4">
      <c r="A3" s="4">
        <v>1</v>
      </c>
      <c r="B3" s="4" t="s">
        <v>24</v>
      </c>
      <c r="C3" s="4" t="s">
        <v>25</v>
      </c>
      <c r="D3" s="4" t="s">
        <v>122</v>
      </c>
      <c r="E3" s="4" t="s">
        <v>11</v>
      </c>
      <c r="F3" s="4" t="s">
        <v>11</v>
      </c>
      <c r="G3" s="4" t="s">
        <v>12</v>
      </c>
      <c r="H3" s="4" t="s">
        <v>26</v>
      </c>
      <c r="I3" s="4"/>
      <c r="J3" s="4" t="s">
        <v>27</v>
      </c>
      <c r="K3" s="12" t="s">
        <v>27</v>
      </c>
      <c r="L3" s="4" t="s">
        <v>11</v>
      </c>
      <c r="M3" s="4" t="s">
        <v>28</v>
      </c>
      <c r="N3" s="10">
        <v>30</v>
      </c>
      <c r="O3" s="5">
        <v>7.7</v>
      </c>
      <c r="P3" s="5">
        <f t="shared" ref="P3:P34" si="0">+N3*O3</f>
        <v>231</v>
      </c>
      <c r="Q3" s="1">
        <v>6893</v>
      </c>
      <c r="R3" s="1">
        <f>ROUND(Q3*1.27,0)</f>
        <v>8754</v>
      </c>
      <c r="S3" s="1">
        <f>+R3*N3</f>
        <v>262620</v>
      </c>
      <c r="T3" s="1">
        <f>+O3*$T$1</f>
        <v>10780</v>
      </c>
      <c r="U3" s="1">
        <f>+T3*N3</f>
        <v>323400</v>
      </c>
      <c r="V3" s="1">
        <f>+U3-S3</f>
        <v>60780</v>
      </c>
      <c r="W3" s="14">
        <f>+V3/U3</f>
        <v>0.18794063079777365</v>
      </c>
    </row>
    <row r="4" spans="1:23" x14ac:dyDescent="0.4">
      <c r="A4" s="4">
        <v>2</v>
      </c>
      <c r="B4" s="4" t="s">
        <v>29</v>
      </c>
      <c r="C4" s="4" t="s">
        <v>25</v>
      </c>
      <c r="D4" s="4" t="s">
        <v>122</v>
      </c>
      <c r="E4" s="4" t="s">
        <v>11</v>
      </c>
      <c r="F4" s="4" t="s">
        <v>11</v>
      </c>
      <c r="G4" s="4" t="s">
        <v>12</v>
      </c>
      <c r="H4" s="4" t="s">
        <v>26</v>
      </c>
      <c r="I4" s="4"/>
      <c r="J4" s="4" t="s">
        <v>30</v>
      </c>
      <c r="K4" s="12" t="s">
        <v>30</v>
      </c>
      <c r="L4" s="4" t="s">
        <v>11</v>
      </c>
      <c r="M4" s="4" t="s">
        <v>31</v>
      </c>
      <c r="N4" s="10">
        <v>30</v>
      </c>
      <c r="O4" s="5">
        <v>7.7</v>
      </c>
      <c r="P4" s="5">
        <f t="shared" si="0"/>
        <v>231</v>
      </c>
      <c r="Q4" s="1">
        <v>6893</v>
      </c>
      <c r="R4" s="1">
        <f t="shared" ref="R4:R11" si="1">ROUND(Q4*1.27,0)</f>
        <v>8754</v>
      </c>
      <c r="S4" s="1">
        <f t="shared" ref="S4:S67" si="2">+R4*N4</f>
        <v>262620</v>
      </c>
      <c r="T4" s="1">
        <f t="shared" ref="T4:T67" si="3">+O4*$T$1</f>
        <v>10780</v>
      </c>
      <c r="U4" s="1">
        <f t="shared" ref="U4:U67" si="4">+T4*N4</f>
        <v>323400</v>
      </c>
      <c r="V4" s="1">
        <f t="shared" ref="V4:V67" si="5">+U4-S4</f>
        <v>60780</v>
      </c>
      <c r="W4" s="14">
        <f t="shared" ref="W4:W67" si="6">+V4/U4</f>
        <v>0.18794063079777365</v>
      </c>
    </row>
    <row r="5" spans="1:23" x14ac:dyDescent="0.4">
      <c r="A5" s="4">
        <v>3</v>
      </c>
      <c r="B5" s="4" t="s">
        <v>152</v>
      </c>
      <c r="C5" s="4" t="s">
        <v>25</v>
      </c>
      <c r="D5" s="4" t="s">
        <v>122</v>
      </c>
      <c r="E5" s="4" t="s">
        <v>19</v>
      </c>
      <c r="F5" s="4" t="s">
        <v>19</v>
      </c>
      <c r="G5" s="4" t="s">
        <v>12</v>
      </c>
      <c r="H5" s="4" t="s">
        <v>80</v>
      </c>
      <c r="I5" s="4" t="s">
        <v>81</v>
      </c>
      <c r="J5" s="4" t="s">
        <v>152</v>
      </c>
      <c r="K5" s="12" t="s">
        <v>152</v>
      </c>
      <c r="L5" s="4" t="s">
        <v>19</v>
      </c>
      <c r="M5" s="4" t="s">
        <v>153</v>
      </c>
      <c r="N5" s="10">
        <v>570</v>
      </c>
      <c r="O5" s="5">
        <v>2.3299999999999996</v>
      </c>
      <c r="P5" s="5">
        <f t="shared" si="0"/>
        <v>1328.0999999999997</v>
      </c>
      <c r="Q5" s="1">
        <v>1969</v>
      </c>
      <c r="R5" s="1">
        <f t="shared" si="1"/>
        <v>2501</v>
      </c>
      <c r="S5" s="1">
        <f t="shared" si="2"/>
        <v>1425570</v>
      </c>
      <c r="T5" s="1">
        <f t="shared" si="3"/>
        <v>3261.9999999999995</v>
      </c>
      <c r="U5" s="1">
        <f t="shared" si="4"/>
        <v>1859339.9999999998</v>
      </c>
      <c r="V5" s="1">
        <f t="shared" si="5"/>
        <v>433769.99999999977</v>
      </c>
      <c r="W5" s="14">
        <f t="shared" si="6"/>
        <v>0.23329245861434694</v>
      </c>
    </row>
    <row r="6" spans="1:23" x14ac:dyDescent="0.4">
      <c r="A6" s="4">
        <v>4</v>
      </c>
      <c r="B6" s="4" t="s">
        <v>170</v>
      </c>
      <c r="C6" s="4" t="s">
        <v>25</v>
      </c>
      <c r="D6" s="4" t="s">
        <v>122</v>
      </c>
      <c r="E6" s="4" t="s">
        <v>42</v>
      </c>
      <c r="F6" s="4" t="s">
        <v>42</v>
      </c>
      <c r="G6" s="4" t="s">
        <v>12</v>
      </c>
      <c r="H6" s="4" t="s">
        <v>171</v>
      </c>
      <c r="I6" s="4"/>
      <c r="J6" s="4" t="s">
        <v>170</v>
      </c>
      <c r="K6" s="12" t="s">
        <v>170</v>
      </c>
      <c r="L6" s="4" t="s">
        <v>42</v>
      </c>
      <c r="M6" s="4" t="s">
        <v>172</v>
      </c>
      <c r="N6" s="10">
        <v>5</v>
      </c>
      <c r="O6" s="5">
        <v>12.049999999999999</v>
      </c>
      <c r="P6" s="5">
        <f t="shared" si="0"/>
        <v>60.249999999999993</v>
      </c>
      <c r="Q6" s="1">
        <v>10227</v>
      </c>
      <c r="R6" s="1">
        <f t="shared" si="1"/>
        <v>12988</v>
      </c>
      <c r="S6" s="1">
        <f t="shared" si="2"/>
        <v>64940</v>
      </c>
      <c r="T6" s="1">
        <f t="shared" si="3"/>
        <v>16870</v>
      </c>
      <c r="U6" s="1">
        <f t="shared" si="4"/>
        <v>84350</v>
      </c>
      <c r="V6" s="1">
        <f t="shared" si="5"/>
        <v>19410</v>
      </c>
      <c r="W6" s="14">
        <f t="shared" si="6"/>
        <v>0.23011262596324836</v>
      </c>
    </row>
    <row r="7" spans="1:23" x14ac:dyDescent="0.4">
      <c r="A7" s="4">
        <v>5</v>
      </c>
      <c r="B7" s="4" t="s">
        <v>173</v>
      </c>
      <c r="C7" s="4" t="s">
        <v>25</v>
      </c>
      <c r="D7" s="4" t="s">
        <v>122</v>
      </c>
      <c r="E7" s="4" t="s">
        <v>11</v>
      </c>
      <c r="F7" s="4" t="s">
        <v>11</v>
      </c>
      <c r="G7" s="4" t="s">
        <v>12</v>
      </c>
      <c r="H7" s="4" t="s">
        <v>174</v>
      </c>
      <c r="I7" s="4" t="s">
        <v>175</v>
      </c>
      <c r="J7" s="4" t="s">
        <v>173</v>
      </c>
      <c r="K7" s="12" t="s">
        <v>173</v>
      </c>
      <c r="L7" s="4" t="s">
        <v>11</v>
      </c>
      <c r="M7" s="4" t="s">
        <v>31</v>
      </c>
      <c r="N7" s="10">
        <v>26</v>
      </c>
      <c r="O7" s="5">
        <v>10.09</v>
      </c>
      <c r="P7" s="5">
        <f t="shared" si="0"/>
        <v>262.33999999999997</v>
      </c>
      <c r="Q7" s="1">
        <v>8560</v>
      </c>
      <c r="R7" s="1">
        <f t="shared" si="1"/>
        <v>10871</v>
      </c>
      <c r="S7" s="1">
        <f t="shared" si="2"/>
        <v>282646</v>
      </c>
      <c r="T7" s="1">
        <f t="shared" si="3"/>
        <v>14126</v>
      </c>
      <c r="U7" s="1">
        <f t="shared" si="4"/>
        <v>367276</v>
      </c>
      <c r="V7" s="1">
        <f t="shared" si="5"/>
        <v>84630</v>
      </c>
      <c r="W7" s="14">
        <f t="shared" si="6"/>
        <v>0.23042616451932607</v>
      </c>
    </row>
    <row r="8" spans="1:23" x14ac:dyDescent="0.4">
      <c r="A8" s="4">
        <v>6</v>
      </c>
      <c r="B8" s="4" t="s">
        <v>176</v>
      </c>
      <c r="C8" s="4" t="s">
        <v>25</v>
      </c>
      <c r="D8" s="4" t="s">
        <v>122</v>
      </c>
      <c r="E8" s="4" t="s">
        <v>11</v>
      </c>
      <c r="F8" s="4" t="s">
        <v>11</v>
      </c>
      <c r="G8" s="4" t="s">
        <v>12</v>
      </c>
      <c r="H8" s="4" t="s">
        <v>174</v>
      </c>
      <c r="I8" s="4" t="s">
        <v>175</v>
      </c>
      <c r="J8" s="4" t="s">
        <v>176</v>
      </c>
      <c r="K8" s="12" t="s">
        <v>176</v>
      </c>
      <c r="L8" s="4" t="s">
        <v>11</v>
      </c>
      <c r="M8" s="4" t="s">
        <v>28</v>
      </c>
      <c r="N8" s="10">
        <v>42</v>
      </c>
      <c r="O8" s="5">
        <v>10.09</v>
      </c>
      <c r="P8" s="5">
        <f t="shared" si="0"/>
        <v>423.78</v>
      </c>
      <c r="Q8" s="1">
        <v>8560</v>
      </c>
      <c r="R8" s="1">
        <f t="shared" si="1"/>
        <v>10871</v>
      </c>
      <c r="S8" s="1">
        <f t="shared" si="2"/>
        <v>456582</v>
      </c>
      <c r="T8" s="1">
        <f t="shared" si="3"/>
        <v>14126</v>
      </c>
      <c r="U8" s="1">
        <f t="shared" si="4"/>
        <v>593292</v>
      </c>
      <c r="V8" s="1">
        <f t="shared" si="5"/>
        <v>136710</v>
      </c>
      <c r="W8" s="14">
        <f t="shared" si="6"/>
        <v>0.23042616451932607</v>
      </c>
    </row>
    <row r="9" spans="1:23" x14ac:dyDescent="0.4">
      <c r="A9" s="4">
        <v>7</v>
      </c>
      <c r="B9" s="4" t="s">
        <v>177</v>
      </c>
      <c r="C9" s="4" t="s">
        <v>25</v>
      </c>
      <c r="D9" s="4" t="s">
        <v>122</v>
      </c>
      <c r="E9" s="4"/>
      <c r="F9" s="4" t="s">
        <v>11</v>
      </c>
      <c r="G9" s="4" t="s">
        <v>45</v>
      </c>
      <c r="H9" s="4" t="s">
        <v>178</v>
      </c>
      <c r="I9" s="4" t="s">
        <v>179</v>
      </c>
      <c r="J9" s="4" t="s">
        <v>177</v>
      </c>
      <c r="K9" s="12" t="s">
        <v>177</v>
      </c>
      <c r="L9" s="4" t="s">
        <v>11</v>
      </c>
      <c r="M9" s="4" t="s">
        <v>180</v>
      </c>
      <c r="N9" s="10">
        <v>126</v>
      </c>
      <c r="O9" s="5">
        <v>9.379999999999999</v>
      </c>
      <c r="P9" s="5">
        <f t="shared" si="0"/>
        <v>1181.8799999999999</v>
      </c>
      <c r="Q9" s="1">
        <v>7954</v>
      </c>
      <c r="R9" s="1">
        <f t="shared" si="1"/>
        <v>10102</v>
      </c>
      <c r="S9" s="1">
        <f t="shared" si="2"/>
        <v>1272852</v>
      </c>
      <c r="T9" s="1">
        <f t="shared" si="3"/>
        <v>13131.999999999998</v>
      </c>
      <c r="U9" s="1">
        <f t="shared" si="4"/>
        <v>1654631.9999999998</v>
      </c>
      <c r="V9" s="1">
        <f t="shared" si="5"/>
        <v>381779.99999999977</v>
      </c>
      <c r="W9" s="14">
        <f t="shared" si="6"/>
        <v>0.23073408467864748</v>
      </c>
    </row>
    <row r="10" spans="1:23" x14ac:dyDescent="0.4">
      <c r="A10" s="4">
        <v>8</v>
      </c>
      <c r="B10" s="4" t="s">
        <v>181</v>
      </c>
      <c r="C10" s="4" t="s">
        <v>25</v>
      </c>
      <c r="D10" s="4" t="s">
        <v>122</v>
      </c>
      <c r="E10" s="4"/>
      <c r="F10" s="4" t="s">
        <v>39</v>
      </c>
      <c r="G10" s="4" t="s">
        <v>45</v>
      </c>
      <c r="H10" s="4" t="s">
        <v>127</v>
      </c>
      <c r="I10" s="4" t="s">
        <v>128</v>
      </c>
      <c r="J10" s="4" t="s">
        <v>181</v>
      </c>
      <c r="K10" s="12" t="s">
        <v>181</v>
      </c>
      <c r="L10" s="4" t="s">
        <v>39</v>
      </c>
      <c r="M10" s="4" t="s">
        <v>182</v>
      </c>
      <c r="N10" s="10">
        <v>46</v>
      </c>
      <c r="O10" s="5">
        <v>5.45</v>
      </c>
      <c r="P10" s="5">
        <f t="shared" si="0"/>
        <v>250.70000000000002</v>
      </c>
      <c r="Q10" s="1">
        <v>4621</v>
      </c>
      <c r="R10" s="1">
        <f t="shared" si="1"/>
        <v>5869</v>
      </c>
      <c r="S10" s="1">
        <f t="shared" si="2"/>
        <v>269974</v>
      </c>
      <c r="T10" s="1">
        <f t="shared" si="3"/>
        <v>7630</v>
      </c>
      <c r="U10" s="1">
        <f t="shared" si="4"/>
        <v>350980</v>
      </c>
      <c r="V10" s="1">
        <f t="shared" si="5"/>
        <v>81006</v>
      </c>
      <c r="W10" s="14">
        <f t="shared" si="6"/>
        <v>0.23079947575360418</v>
      </c>
    </row>
    <row r="11" spans="1:23" x14ac:dyDescent="0.4">
      <c r="A11" s="4">
        <v>9</v>
      </c>
      <c r="B11" s="4" t="s">
        <v>183</v>
      </c>
      <c r="C11" s="4" t="s">
        <v>25</v>
      </c>
      <c r="D11" s="4" t="s">
        <v>122</v>
      </c>
      <c r="E11" s="4" t="s">
        <v>11</v>
      </c>
      <c r="F11" s="4"/>
      <c r="G11" s="4" t="s">
        <v>37</v>
      </c>
      <c r="H11" s="4" t="s">
        <v>184</v>
      </c>
      <c r="I11" s="4"/>
      <c r="J11" s="4" t="s">
        <v>183</v>
      </c>
      <c r="K11" s="12" t="s">
        <v>183</v>
      </c>
      <c r="L11" s="4" t="s">
        <v>11</v>
      </c>
      <c r="M11" s="4" t="s">
        <v>180</v>
      </c>
      <c r="N11" s="10">
        <v>60</v>
      </c>
      <c r="O11" s="5">
        <v>5.45</v>
      </c>
      <c r="P11" s="5">
        <f t="shared" si="0"/>
        <v>327</v>
      </c>
      <c r="Q11" s="1">
        <v>4621</v>
      </c>
      <c r="R11" s="1">
        <f t="shared" si="1"/>
        <v>5869</v>
      </c>
      <c r="S11" s="1">
        <f t="shared" si="2"/>
        <v>352140</v>
      </c>
      <c r="T11" s="1">
        <f t="shared" si="3"/>
        <v>7630</v>
      </c>
      <c r="U11" s="1">
        <f t="shared" si="4"/>
        <v>457800</v>
      </c>
      <c r="V11" s="1">
        <f t="shared" si="5"/>
        <v>105660</v>
      </c>
      <c r="W11" s="14">
        <f t="shared" si="6"/>
        <v>0.23079947575360418</v>
      </c>
    </row>
    <row r="12" spans="1:23" x14ac:dyDescent="0.4">
      <c r="A12" s="4">
        <v>10</v>
      </c>
      <c r="B12" s="4" t="s">
        <v>40</v>
      </c>
      <c r="C12" s="4" t="s">
        <v>41</v>
      </c>
      <c r="D12" s="4" t="s">
        <v>123</v>
      </c>
      <c r="E12" s="4" t="s">
        <v>42</v>
      </c>
      <c r="F12" s="4" t="s">
        <v>42</v>
      </c>
      <c r="G12" s="4" t="s">
        <v>12</v>
      </c>
      <c r="H12" s="4" t="s">
        <v>34</v>
      </c>
      <c r="I12" s="4" t="s">
        <v>35</v>
      </c>
      <c r="J12" s="4" t="s">
        <v>43</v>
      </c>
      <c r="K12" s="12" t="s">
        <v>43</v>
      </c>
      <c r="L12" s="4" t="s">
        <v>42</v>
      </c>
      <c r="M12" s="4" t="s">
        <v>44</v>
      </c>
      <c r="N12" s="10">
        <v>3</v>
      </c>
      <c r="O12" s="5">
        <v>51.73</v>
      </c>
      <c r="P12" s="5">
        <f t="shared" si="0"/>
        <v>155.19</v>
      </c>
      <c r="Q12" s="1">
        <v>50757</v>
      </c>
      <c r="R12" s="1">
        <f>ROUND(Q12*1.16,0)</f>
        <v>58878</v>
      </c>
      <c r="S12" s="1">
        <f t="shared" si="2"/>
        <v>176634</v>
      </c>
      <c r="T12" s="1">
        <f t="shared" si="3"/>
        <v>72422</v>
      </c>
      <c r="U12" s="1">
        <f t="shared" si="4"/>
        <v>217266</v>
      </c>
      <c r="V12" s="1">
        <f t="shared" si="5"/>
        <v>40632</v>
      </c>
      <c r="W12" s="14">
        <f t="shared" si="6"/>
        <v>0.18701499544337355</v>
      </c>
    </row>
    <row r="13" spans="1:23" x14ac:dyDescent="0.4">
      <c r="A13" s="4">
        <v>11</v>
      </c>
      <c r="B13" s="4" t="s">
        <v>47</v>
      </c>
      <c r="C13" s="4" t="s">
        <v>41</v>
      </c>
      <c r="D13" s="4" t="s">
        <v>123</v>
      </c>
      <c r="E13" s="4" t="s">
        <v>33</v>
      </c>
      <c r="F13" s="4" t="s">
        <v>33</v>
      </c>
      <c r="G13" s="4" t="s">
        <v>12</v>
      </c>
      <c r="H13" s="4" t="s">
        <v>48</v>
      </c>
      <c r="I13" s="4" t="s">
        <v>49</v>
      </c>
      <c r="J13" s="4" t="s">
        <v>50</v>
      </c>
      <c r="K13" s="12" t="s">
        <v>50</v>
      </c>
      <c r="L13" s="4" t="s">
        <v>33</v>
      </c>
      <c r="M13" s="4" t="s">
        <v>44</v>
      </c>
      <c r="N13" s="10">
        <v>3</v>
      </c>
      <c r="O13" s="5">
        <v>91.11</v>
      </c>
      <c r="P13" s="5">
        <f t="shared" si="0"/>
        <v>273.33</v>
      </c>
      <c r="Q13" s="1">
        <v>89393</v>
      </c>
      <c r="R13" s="1">
        <f t="shared" ref="R13:R19" si="7">ROUND(Q13*1.16,0)</f>
        <v>103696</v>
      </c>
      <c r="S13" s="1">
        <f t="shared" si="2"/>
        <v>311088</v>
      </c>
      <c r="T13" s="1">
        <f t="shared" si="3"/>
        <v>127554</v>
      </c>
      <c r="U13" s="1">
        <f t="shared" si="4"/>
        <v>382662</v>
      </c>
      <c r="V13" s="1">
        <f t="shared" si="5"/>
        <v>71574</v>
      </c>
      <c r="W13" s="14">
        <f t="shared" si="6"/>
        <v>0.18704235069068786</v>
      </c>
    </row>
    <row r="14" spans="1:23" x14ac:dyDescent="0.4">
      <c r="A14" s="4">
        <v>12</v>
      </c>
      <c r="B14" s="4" t="s">
        <v>87</v>
      </c>
      <c r="C14" s="4" t="s">
        <v>88</v>
      </c>
      <c r="D14" s="4" t="s">
        <v>123</v>
      </c>
      <c r="E14" s="4" t="s">
        <v>89</v>
      </c>
      <c r="F14" s="4" t="s">
        <v>89</v>
      </c>
      <c r="G14" s="4" t="s">
        <v>12</v>
      </c>
      <c r="H14" s="4" t="s">
        <v>90</v>
      </c>
      <c r="I14" s="4" t="s">
        <v>91</v>
      </c>
      <c r="J14" s="4" t="s">
        <v>92</v>
      </c>
      <c r="K14" s="12" t="s">
        <v>92</v>
      </c>
      <c r="L14" s="4" t="s">
        <v>89</v>
      </c>
      <c r="M14" s="4" t="s">
        <v>93</v>
      </c>
      <c r="N14" s="10">
        <v>10</v>
      </c>
      <c r="O14" s="5">
        <v>235.98</v>
      </c>
      <c r="P14" s="5">
        <f t="shared" si="0"/>
        <v>2359.7999999999997</v>
      </c>
      <c r="Q14" s="1">
        <v>231538</v>
      </c>
      <c r="R14" s="1">
        <f t="shared" si="7"/>
        <v>268584</v>
      </c>
      <c r="S14" s="1">
        <f t="shared" si="2"/>
        <v>2685840</v>
      </c>
      <c r="T14" s="1">
        <f t="shared" si="3"/>
        <v>330372</v>
      </c>
      <c r="U14" s="1">
        <f t="shared" si="4"/>
        <v>3303720</v>
      </c>
      <c r="V14" s="1">
        <f t="shared" si="5"/>
        <v>617880</v>
      </c>
      <c r="W14" s="14">
        <f t="shared" si="6"/>
        <v>0.18702553485162182</v>
      </c>
    </row>
    <row r="15" spans="1:23" x14ac:dyDescent="0.4">
      <c r="A15" s="4">
        <v>13</v>
      </c>
      <c r="B15" s="4" t="s">
        <v>94</v>
      </c>
      <c r="C15" s="4" t="s">
        <v>88</v>
      </c>
      <c r="D15" s="4" t="s">
        <v>123</v>
      </c>
      <c r="E15" s="4" t="s">
        <v>89</v>
      </c>
      <c r="F15" s="4" t="s">
        <v>89</v>
      </c>
      <c r="G15" s="4" t="s">
        <v>12</v>
      </c>
      <c r="H15" s="4" t="s">
        <v>95</v>
      </c>
      <c r="I15" s="4"/>
      <c r="J15" s="4" t="s">
        <v>96</v>
      </c>
      <c r="K15" s="12" t="s">
        <v>96</v>
      </c>
      <c r="L15" s="4" t="s">
        <v>89</v>
      </c>
      <c r="M15" s="4" t="s">
        <v>93</v>
      </c>
      <c r="N15" s="10">
        <v>5</v>
      </c>
      <c r="O15" s="5">
        <v>247.76999999999998</v>
      </c>
      <c r="P15" s="5">
        <f t="shared" si="0"/>
        <v>1238.8499999999999</v>
      </c>
      <c r="Q15" s="1">
        <v>243115</v>
      </c>
      <c r="R15" s="1">
        <f t="shared" si="7"/>
        <v>282013</v>
      </c>
      <c r="S15" s="1">
        <f t="shared" si="2"/>
        <v>1410065</v>
      </c>
      <c r="T15" s="1">
        <f t="shared" si="3"/>
        <v>346878</v>
      </c>
      <c r="U15" s="1">
        <f t="shared" si="4"/>
        <v>1734390</v>
      </c>
      <c r="V15" s="1">
        <f t="shared" si="5"/>
        <v>324325</v>
      </c>
      <c r="W15" s="14">
        <f t="shared" si="6"/>
        <v>0.18699658093047122</v>
      </c>
    </row>
    <row r="16" spans="1:23" x14ac:dyDescent="0.4">
      <c r="A16" s="4">
        <v>14</v>
      </c>
      <c r="B16" s="4" t="s">
        <v>226</v>
      </c>
      <c r="C16" s="4" t="s">
        <v>227</v>
      </c>
      <c r="D16" s="4" t="s">
        <v>228</v>
      </c>
      <c r="E16" s="4" t="s">
        <v>229</v>
      </c>
      <c r="F16" s="4"/>
      <c r="G16" s="4" t="s">
        <v>37</v>
      </c>
      <c r="H16" s="4" t="s">
        <v>38</v>
      </c>
      <c r="I16" s="4"/>
      <c r="J16" s="4" t="s">
        <v>226</v>
      </c>
      <c r="K16" s="12" t="s">
        <v>226</v>
      </c>
      <c r="L16" s="4" t="s">
        <v>229</v>
      </c>
      <c r="M16" s="4" t="s">
        <v>230</v>
      </c>
      <c r="N16" s="10">
        <v>20</v>
      </c>
      <c r="O16" s="5">
        <v>10.19</v>
      </c>
      <c r="P16" s="5">
        <f t="shared" si="0"/>
        <v>203.79999999999998</v>
      </c>
      <c r="Q16" s="1">
        <v>9469</v>
      </c>
      <c r="R16" s="1">
        <f t="shared" si="7"/>
        <v>10984</v>
      </c>
      <c r="S16" s="1">
        <f t="shared" si="2"/>
        <v>219680</v>
      </c>
      <c r="T16" s="1">
        <f t="shared" si="3"/>
        <v>14266</v>
      </c>
      <c r="U16" s="1">
        <f t="shared" si="4"/>
        <v>285320</v>
      </c>
      <c r="V16" s="1">
        <f t="shared" si="5"/>
        <v>65640</v>
      </c>
      <c r="W16" s="14">
        <f t="shared" si="6"/>
        <v>0.23005747932146361</v>
      </c>
    </row>
    <row r="17" spans="1:23" x14ac:dyDescent="0.4">
      <c r="A17" s="4">
        <v>15</v>
      </c>
      <c r="B17" s="4" t="s">
        <v>161</v>
      </c>
      <c r="C17" s="4" t="s">
        <v>162</v>
      </c>
      <c r="D17" s="4" t="s">
        <v>163</v>
      </c>
      <c r="E17" s="4" t="s">
        <v>42</v>
      </c>
      <c r="F17" s="4" t="s">
        <v>42</v>
      </c>
      <c r="G17" s="4" t="s">
        <v>12</v>
      </c>
      <c r="H17" s="4" t="s">
        <v>164</v>
      </c>
      <c r="I17" s="4" t="s">
        <v>165</v>
      </c>
      <c r="J17" s="4" t="s">
        <v>161</v>
      </c>
      <c r="K17" s="12" t="s">
        <v>161</v>
      </c>
      <c r="L17" s="4" t="s">
        <v>42</v>
      </c>
      <c r="M17" s="4" t="s">
        <v>166</v>
      </c>
      <c r="N17" s="10">
        <v>20</v>
      </c>
      <c r="O17" s="5">
        <v>22.180000000000003</v>
      </c>
      <c r="P17" s="5">
        <f t="shared" si="0"/>
        <v>443.60000000000008</v>
      </c>
      <c r="Q17" s="1">
        <v>20606</v>
      </c>
      <c r="R17" s="1">
        <f t="shared" si="7"/>
        <v>23903</v>
      </c>
      <c r="S17" s="1">
        <f t="shared" si="2"/>
        <v>478060</v>
      </c>
      <c r="T17" s="1">
        <f t="shared" si="3"/>
        <v>31052.000000000004</v>
      </c>
      <c r="U17" s="1">
        <f t="shared" si="4"/>
        <v>621040.00000000012</v>
      </c>
      <c r="V17" s="1">
        <f t="shared" si="5"/>
        <v>142980.00000000012</v>
      </c>
      <c r="W17" s="14">
        <f t="shared" si="6"/>
        <v>0.23022671647558948</v>
      </c>
    </row>
    <row r="18" spans="1:23" x14ac:dyDescent="0.4">
      <c r="A18" s="4">
        <v>16</v>
      </c>
      <c r="B18" s="4" t="s">
        <v>167</v>
      </c>
      <c r="C18" s="4" t="s">
        <v>162</v>
      </c>
      <c r="D18" s="4" t="s">
        <v>163</v>
      </c>
      <c r="E18" s="4" t="s">
        <v>11</v>
      </c>
      <c r="F18" s="4" t="s">
        <v>11</v>
      </c>
      <c r="G18" s="4" t="s">
        <v>12</v>
      </c>
      <c r="H18" s="4" t="s">
        <v>66</v>
      </c>
      <c r="I18" s="4"/>
      <c r="J18" s="4" t="s">
        <v>167</v>
      </c>
      <c r="K18" s="12" t="s">
        <v>167</v>
      </c>
      <c r="L18" s="4" t="s">
        <v>11</v>
      </c>
      <c r="M18" s="4" t="s">
        <v>168</v>
      </c>
      <c r="N18" s="10">
        <v>100</v>
      </c>
      <c r="O18" s="5">
        <v>3.0999999999999996</v>
      </c>
      <c r="P18" s="5">
        <f t="shared" si="0"/>
        <v>309.99999999999994</v>
      </c>
      <c r="Q18" s="1">
        <v>2878</v>
      </c>
      <c r="R18" s="1">
        <f t="shared" si="7"/>
        <v>3338</v>
      </c>
      <c r="S18" s="1">
        <f t="shared" si="2"/>
        <v>333800</v>
      </c>
      <c r="T18" s="1">
        <f t="shared" si="3"/>
        <v>4339.9999999999991</v>
      </c>
      <c r="U18" s="1">
        <f t="shared" si="4"/>
        <v>433999.99999999988</v>
      </c>
      <c r="V18" s="1">
        <f t="shared" si="5"/>
        <v>100199.99999999988</v>
      </c>
      <c r="W18" s="14">
        <f t="shared" si="6"/>
        <v>0.23087557603686615</v>
      </c>
    </row>
    <row r="19" spans="1:23" x14ac:dyDescent="0.4">
      <c r="A19" s="4">
        <v>17</v>
      </c>
      <c r="B19" s="4" t="s">
        <v>169</v>
      </c>
      <c r="C19" s="4" t="s">
        <v>162</v>
      </c>
      <c r="D19" s="4" t="s">
        <v>163</v>
      </c>
      <c r="E19" s="4" t="s">
        <v>11</v>
      </c>
      <c r="F19" s="4" t="s">
        <v>11</v>
      </c>
      <c r="G19" s="4" t="s">
        <v>12</v>
      </c>
      <c r="H19" s="4" t="s">
        <v>107</v>
      </c>
      <c r="I19" s="4" t="s">
        <v>108</v>
      </c>
      <c r="J19" s="4" t="s">
        <v>169</v>
      </c>
      <c r="K19" s="12" t="s">
        <v>169</v>
      </c>
      <c r="L19" s="4" t="s">
        <v>11</v>
      </c>
      <c r="M19" s="4" t="s">
        <v>168</v>
      </c>
      <c r="N19" s="10">
        <v>175</v>
      </c>
      <c r="O19" s="5">
        <v>1.63</v>
      </c>
      <c r="P19" s="5">
        <f t="shared" si="0"/>
        <v>285.25</v>
      </c>
      <c r="Q19" s="1">
        <v>1515</v>
      </c>
      <c r="R19" s="1">
        <f t="shared" si="7"/>
        <v>1757</v>
      </c>
      <c r="S19" s="1">
        <f t="shared" si="2"/>
        <v>307475</v>
      </c>
      <c r="T19" s="1">
        <f t="shared" si="3"/>
        <v>2282</v>
      </c>
      <c r="U19" s="1">
        <f t="shared" si="4"/>
        <v>399350</v>
      </c>
      <c r="V19" s="1">
        <f t="shared" si="5"/>
        <v>91875</v>
      </c>
      <c r="W19" s="14">
        <f t="shared" si="6"/>
        <v>0.23006134969325154</v>
      </c>
    </row>
    <row r="20" spans="1:23" x14ac:dyDescent="0.4">
      <c r="A20" s="4">
        <v>18</v>
      </c>
      <c r="B20" s="4" t="s">
        <v>218</v>
      </c>
      <c r="C20" s="4" t="s">
        <v>219</v>
      </c>
      <c r="D20" s="4" t="s">
        <v>220</v>
      </c>
      <c r="E20" s="4"/>
      <c r="F20" s="4" t="s">
        <v>19</v>
      </c>
      <c r="G20" s="4" t="s">
        <v>45</v>
      </c>
      <c r="H20" s="4" t="s">
        <v>221</v>
      </c>
      <c r="I20" s="4" t="s">
        <v>222</v>
      </c>
      <c r="J20" s="4" t="s">
        <v>218</v>
      </c>
      <c r="K20" s="12" t="s">
        <v>218</v>
      </c>
      <c r="L20" s="4" t="s">
        <v>19</v>
      </c>
      <c r="M20" s="4" t="s">
        <v>223</v>
      </c>
      <c r="N20" s="10">
        <v>50</v>
      </c>
      <c r="O20" s="5">
        <v>11.16</v>
      </c>
      <c r="P20" s="5">
        <f t="shared" si="0"/>
        <v>558</v>
      </c>
      <c r="Q20" s="1">
        <v>9393</v>
      </c>
      <c r="R20" s="1">
        <f>ROUND(Q20*1.28,0)</f>
        <v>12023</v>
      </c>
      <c r="S20" s="1">
        <f t="shared" si="2"/>
        <v>601150</v>
      </c>
      <c r="T20" s="1">
        <f t="shared" si="3"/>
        <v>15624</v>
      </c>
      <c r="U20" s="1">
        <f t="shared" si="4"/>
        <v>781200</v>
      </c>
      <c r="V20" s="1">
        <f t="shared" si="5"/>
        <v>180050</v>
      </c>
      <c r="W20" s="14">
        <f t="shared" si="6"/>
        <v>0.23047875064004097</v>
      </c>
    </row>
    <row r="21" spans="1:23" x14ac:dyDescent="0.4">
      <c r="A21" s="4">
        <v>19</v>
      </c>
      <c r="B21" s="4" t="s">
        <v>224</v>
      </c>
      <c r="C21" s="4" t="s">
        <v>219</v>
      </c>
      <c r="D21" s="4" t="s">
        <v>220</v>
      </c>
      <c r="E21" s="4"/>
      <c r="F21" s="4" t="s">
        <v>19</v>
      </c>
      <c r="G21" s="4" t="s">
        <v>45</v>
      </c>
      <c r="H21" s="4" t="s">
        <v>221</v>
      </c>
      <c r="I21" s="4" t="s">
        <v>222</v>
      </c>
      <c r="J21" s="4" t="s">
        <v>224</v>
      </c>
      <c r="K21" s="12" t="s">
        <v>224</v>
      </c>
      <c r="L21" s="4" t="s">
        <v>19</v>
      </c>
      <c r="M21" s="4" t="s">
        <v>225</v>
      </c>
      <c r="N21" s="10">
        <v>70</v>
      </c>
      <c r="O21" s="5">
        <v>11.16</v>
      </c>
      <c r="P21" s="5">
        <f t="shared" si="0"/>
        <v>781.2</v>
      </c>
      <c r="Q21" s="1">
        <v>9393</v>
      </c>
      <c r="R21" s="1">
        <f t="shared" ref="R21:R43" si="8">ROUND(Q21*1.28,0)</f>
        <v>12023</v>
      </c>
      <c r="S21" s="1">
        <f t="shared" si="2"/>
        <v>841610</v>
      </c>
      <c r="T21" s="1">
        <f t="shared" si="3"/>
        <v>15624</v>
      </c>
      <c r="U21" s="1">
        <f t="shared" si="4"/>
        <v>1093680</v>
      </c>
      <c r="V21" s="1">
        <f t="shared" si="5"/>
        <v>252070</v>
      </c>
      <c r="W21" s="14">
        <f t="shared" si="6"/>
        <v>0.23047875064004097</v>
      </c>
    </row>
    <row r="22" spans="1:23" x14ac:dyDescent="0.4">
      <c r="A22" s="4">
        <v>20</v>
      </c>
      <c r="B22" s="4" t="s">
        <v>9</v>
      </c>
      <c r="C22" s="4" t="s">
        <v>10</v>
      </c>
      <c r="D22" s="4" t="s">
        <v>120</v>
      </c>
      <c r="E22" s="4" t="s">
        <v>11</v>
      </c>
      <c r="F22" s="4" t="s">
        <v>11</v>
      </c>
      <c r="G22" s="4" t="s">
        <v>12</v>
      </c>
      <c r="H22" s="4" t="s">
        <v>13</v>
      </c>
      <c r="I22" s="4" t="s">
        <v>14</v>
      </c>
      <c r="J22" s="4" t="s">
        <v>15</v>
      </c>
      <c r="K22" s="12" t="s">
        <v>15</v>
      </c>
      <c r="L22" s="4" t="s">
        <v>11</v>
      </c>
      <c r="M22" s="4" t="s">
        <v>16</v>
      </c>
      <c r="N22" s="10">
        <v>30</v>
      </c>
      <c r="O22" s="5">
        <v>1.71</v>
      </c>
      <c r="P22" s="5">
        <f t="shared" si="0"/>
        <v>51.3</v>
      </c>
      <c r="Q22" s="1">
        <v>1515</v>
      </c>
      <c r="R22" s="1">
        <f t="shared" si="8"/>
        <v>1939</v>
      </c>
      <c r="S22" s="1">
        <f t="shared" si="2"/>
        <v>58170</v>
      </c>
      <c r="T22" s="1">
        <f t="shared" si="3"/>
        <v>2394</v>
      </c>
      <c r="U22" s="1">
        <f t="shared" si="4"/>
        <v>71820</v>
      </c>
      <c r="V22" s="1">
        <f t="shared" si="5"/>
        <v>13650</v>
      </c>
      <c r="W22" s="14">
        <f t="shared" si="6"/>
        <v>0.19005847953216373</v>
      </c>
    </row>
    <row r="23" spans="1:23" x14ac:dyDescent="0.4">
      <c r="A23" s="4">
        <v>21</v>
      </c>
      <c r="B23" s="4" t="s">
        <v>57</v>
      </c>
      <c r="C23" s="4" t="s">
        <v>32</v>
      </c>
      <c r="D23" s="4" t="s">
        <v>120</v>
      </c>
      <c r="E23" s="4" t="s">
        <v>42</v>
      </c>
      <c r="F23" s="4" t="s">
        <v>42</v>
      </c>
      <c r="G23" s="4" t="s">
        <v>12</v>
      </c>
      <c r="H23" s="4" t="s">
        <v>53</v>
      </c>
      <c r="I23" s="4" t="s">
        <v>54</v>
      </c>
      <c r="J23" s="4" t="s">
        <v>58</v>
      </c>
      <c r="K23" s="12" t="s">
        <v>58</v>
      </c>
      <c r="L23" s="4" t="s">
        <v>42</v>
      </c>
      <c r="M23" s="4" t="s">
        <v>59</v>
      </c>
      <c r="N23" s="10">
        <v>20</v>
      </c>
      <c r="O23" s="5">
        <v>30.53</v>
      </c>
      <c r="P23" s="5">
        <f t="shared" si="0"/>
        <v>610.6</v>
      </c>
      <c r="Q23" s="1">
        <v>27143</v>
      </c>
      <c r="R23" s="1">
        <f t="shared" si="8"/>
        <v>34743</v>
      </c>
      <c r="S23" s="1">
        <f t="shared" si="2"/>
        <v>694860</v>
      </c>
      <c r="T23" s="1">
        <f t="shared" si="3"/>
        <v>42742</v>
      </c>
      <c r="U23" s="1">
        <f t="shared" si="4"/>
        <v>854840</v>
      </c>
      <c r="V23" s="1">
        <f t="shared" si="5"/>
        <v>159980</v>
      </c>
      <c r="W23" s="14">
        <f t="shared" si="6"/>
        <v>0.18714613260961116</v>
      </c>
    </row>
    <row r="24" spans="1:23" x14ac:dyDescent="0.4">
      <c r="A24" s="4">
        <v>22</v>
      </c>
      <c r="B24" s="4" t="s">
        <v>69</v>
      </c>
      <c r="C24" s="4" t="s">
        <v>70</v>
      </c>
      <c r="D24" s="4" t="s">
        <v>120</v>
      </c>
      <c r="E24" s="4" t="s">
        <v>19</v>
      </c>
      <c r="F24" s="4" t="s">
        <v>19</v>
      </c>
      <c r="G24" s="4" t="s">
        <v>12</v>
      </c>
      <c r="H24" s="4" t="s">
        <v>53</v>
      </c>
      <c r="I24" s="4" t="s">
        <v>54</v>
      </c>
      <c r="J24" s="4" t="s">
        <v>71</v>
      </c>
      <c r="K24" s="12" t="s">
        <v>71</v>
      </c>
      <c r="L24" s="4" t="s">
        <v>19</v>
      </c>
      <c r="M24" s="4" t="s">
        <v>72</v>
      </c>
      <c r="N24" s="10">
        <v>50</v>
      </c>
      <c r="O24" s="5">
        <v>8.27</v>
      </c>
      <c r="P24" s="5">
        <f t="shared" si="0"/>
        <v>413.5</v>
      </c>
      <c r="Q24" s="1">
        <v>7348</v>
      </c>
      <c r="R24" s="1">
        <f t="shared" si="8"/>
        <v>9405</v>
      </c>
      <c r="S24" s="1">
        <f t="shared" si="2"/>
        <v>470250</v>
      </c>
      <c r="T24" s="1">
        <f t="shared" si="3"/>
        <v>11578</v>
      </c>
      <c r="U24" s="1">
        <f t="shared" si="4"/>
        <v>578900</v>
      </c>
      <c r="V24" s="1">
        <f t="shared" si="5"/>
        <v>108650</v>
      </c>
      <c r="W24" s="14">
        <f t="shared" si="6"/>
        <v>0.18768353774399724</v>
      </c>
    </row>
    <row r="25" spans="1:23" x14ac:dyDescent="0.4">
      <c r="A25" s="4">
        <v>23</v>
      </c>
      <c r="B25" s="4" t="s">
        <v>73</v>
      </c>
      <c r="C25" s="4" t="s">
        <v>32</v>
      </c>
      <c r="D25" s="4" t="s">
        <v>120</v>
      </c>
      <c r="E25" s="4" t="s">
        <v>19</v>
      </c>
      <c r="F25" s="4" t="s">
        <v>19</v>
      </c>
      <c r="G25" s="4" t="s">
        <v>12</v>
      </c>
      <c r="H25" s="4" t="s">
        <v>66</v>
      </c>
      <c r="I25" s="4"/>
      <c r="J25" s="4" t="s">
        <v>74</v>
      </c>
      <c r="K25" s="12" t="s">
        <v>74</v>
      </c>
      <c r="L25" s="4" t="s">
        <v>19</v>
      </c>
      <c r="M25" s="4" t="s">
        <v>72</v>
      </c>
      <c r="N25" s="10">
        <v>50</v>
      </c>
      <c r="O25" s="5">
        <v>5.97</v>
      </c>
      <c r="P25" s="5">
        <f t="shared" si="0"/>
        <v>298.5</v>
      </c>
      <c r="Q25" s="1">
        <v>5303</v>
      </c>
      <c r="R25" s="1">
        <f t="shared" si="8"/>
        <v>6788</v>
      </c>
      <c r="S25" s="1">
        <f t="shared" si="2"/>
        <v>339400</v>
      </c>
      <c r="T25" s="1">
        <f t="shared" si="3"/>
        <v>8358</v>
      </c>
      <c r="U25" s="1">
        <f t="shared" si="4"/>
        <v>417900</v>
      </c>
      <c r="V25" s="1">
        <f t="shared" si="5"/>
        <v>78500</v>
      </c>
      <c r="W25" s="14">
        <f t="shared" si="6"/>
        <v>0.18784398181383105</v>
      </c>
    </row>
    <row r="26" spans="1:23" x14ac:dyDescent="0.4">
      <c r="A26" s="4">
        <v>24</v>
      </c>
      <c r="B26" s="4" t="s">
        <v>75</v>
      </c>
      <c r="C26" s="4" t="s">
        <v>32</v>
      </c>
      <c r="D26" s="4" t="s">
        <v>270</v>
      </c>
      <c r="E26" s="4" t="s">
        <v>19</v>
      </c>
      <c r="F26" s="4" t="s">
        <v>19</v>
      </c>
      <c r="G26" s="4" t="s">
        <v>12</v>
      </c>
      <c r="H26" s="4" t="s">
        <v>76</v>
      </c>
      <c r="I26" s="4" t="s">
        <v>77</v>
      </c>
      <c r="J26" s="4" t="s">
        <v>78</v>
      </c>
      <c r="K26" s="12" t="s">
        <v>78</v>
      </c>
      <c r="L26" s="4" t="s">
        <v>19</v>
      </c>
      <c r="M26" s="4" t="s">
        <v>72</v>
      </c>
      <c r="N26" s="10">
        <v>50</v>
      </c>
      <c r="O26" s="5">
        <v>6.91</v>
      </c>
      <c r="P26" s="5">
        <f t="shared" si="0"/>
        <v>345.5</v>
      </c>
      <c r="Q26" s="1">
        <v>6136</v>
      </c>
      <c r="R26" s="1">
        <f t="shared" si="8"/>
        <v>7854</v>
      </c>
      <c r="S26" s="1">
        <f t="shared" si="2"/>
        <v>392700</v>
      </c>
      <c r="T26" s="1">
        <f t="shared" si="3"/>
        <v>9674</v>
      </c>
      <c r="U26" s="1">
        <f t="shared" si="4"/>
        <v>483700</v>
      </c>
      <c r="V26" s="1">
        <f t="shared" si="5"/>
        <v>91000</v>
      </c>
      <c r="W26" s="14">
        <f t="shared" si="6"/>
        <v>0.18813314037626627</v>
      </c>
    </row>
    <row r="27" spans="1:23" x14ac:dyDescent="0.4">
      <c r="A27" s="4">
        <v>25</v>
      </c>
      <c r="B27" s="4" t="s">
        <v>79</v>
      </c>
      <c r="C27" s="4" t="s">
        <v>70</v>
      </c>
      <c r="D27" s="4" t="s">
        <v>120</v>
      </c>
      <c r="E27" s="4" t="s">
        <v>19</v>
      </c>
      <c r="F27" s="4" t="s">
        <v>19</v>
      </c>
      <c r="G27" s="4" t="s">
        <v>12</v>
      </c>
      <c r="H27" s="4" t="s">
        <v>80</v>
      </c>
      <c r="I27" s="4" t="s">
        <v>81</v>
      </c>
      <c r="J27" s="4" t="s">
        <v>82</v>
      </c>
      <c r="K27" s="12">
        <v>2244142910</v>
      </c>
      <c r="L27" s="4" t="s">
        <v>19</v>
      </c>
      <c r="M27" s="4" t="s">
        <v>72</v>
      </c>
      <c r="N27" s="10">
        <v>100</v>
      </c>
      <c r="O27" s="5">
        <v>4.5999999999999996</v>
      </c>
      <c r="P27" s="5">
        <f t="shared" si="0"/>
        <v>459.99999999999994</v>
      </c>
      <c r="Q27" s="1">
        <v>4090</v>
      </c>
      <c r="R27" s="1">
        <f t="shared" si="8"/>
        <v>5235</v>
      </c>
      <c r="S27" s="1">
        <f t="shared" si="2"/>
        <v>523500</v>
      </c>
      <c r="T27" s="1">
        <f t="shared" si="3"/>
        <v>6439.9999999999991</v>
      </c>
      <c r="U27" s="1">
        <f t="shared" si="4"/>
        <v>643999.99999999988</v>
      </c>
      <c r="V27" s="1">
        <f t="shared" si="5"/>
        <v>120499.99999999988</v>
      </c>
      <c r="W27" s="14">
        <f t="shared" si="6"/>
        <v>0.18711180124223586</v>
      </c>
    </row>
    <row r="28" spans="1:23" x14ac:dyDescent="0.4">
      <c r="A28" s="4">
        <v>26</v>
      </c>
      <c r="B28" s="4" t="s">
        <v>83</v>
      </c>
      <c r="C28" s="4" t="s">
        <v>70</v>
      </c>
      <c r="D28" s="4" t="s">
        <v>120</v>
      </c>
      <c r="E28" s="4" t="s">
        <v>19</v>
      </c>
      <c r="F28" s="4" t="s">
        <v>19</v>
      </c>
      <c r="G28" s="4" t="s">
        <v>12</v>
      </c>
      <c r="H28" s="4" t="s">
        <v>84</v>
      </c>
      <c r="I28" s="4" t="s">
        <v>85</v>
      </c>
      <c r="J28" s="4" t="s">
        <v>86</v>
      </c>
      <c r="K28" s="12">
        <v>2244123800</v>
      </c>
      <c r="L28" s="4" t="s">
        <v>19</v>
      </c>
      <c r="M28" s="4" t="s">
        <v>72</v>
      </c>
      <c r="N28" s="10">
        <v>50</v>
      </c>
      <c r="O28" s="5">
        <v>6.14</v>
      </c>
      <c r="P28" s="5">
        <f t="shared" si="0"/>
        <v>307</v>
      </c>
      <c r="Q28" s="1">
        <v>5454</v>
      </c>
      <c r="R28" s="1">
        <f t="shared" si="8"/>
        <v>6981</v>
      </c>
      <c r="S28" s="1">
        <f t="shared" si="2"/>
        <v>349050</v>
      </c>
      <c r="T28" s="1">
        <f t="shared" si="3"/>
        <v>8596</v>
      </c>
      <c r="U28" s="1">
        <f t="shared" si="4"/>
        <v>429800</v>
      </c>
      <c r="V28" s="1">
        <f t="shared" si="5"/>
        <v>80750</v>
      </c>
      <c r="W28" s="14">
        <f t="shared" si="6"/>
        <v>0.18787808282922289</v>
      </c>
    </row>
    <row r="29" spans="1:23" x14ac:dyDescent="0.4">
      <c r="A29" s="4">
        <v>27</v>
      </c>
      <c r="B29" s="4" t="s">
        <v>101</v>
      </c>
      <c r="C29" s="4" t="s">
        <v>70</v>
      </c>
      <c r="D29" s="4" t="s">
        <v>120</v>
      </c>
      <c r="E29" s="4" t="s">
        <v>19</v>
      </c>
      <c r="F29" s="4" t="s">
        <v>19</v>
      </c>
      <c r="G29" s="4" t="s">
        <v>12</v>
      </c>
      <c r="H29" s="4" t="s">
        <v>102</v>
      </c>
      <c r="I29" s="4" t="s">
        <v>103</v>
      </c>
      <c r="J29" s="4" t="s">
        <v>104</v>
      </c>
      <c r="K29" s="12" t="s">
        <v>104</v>
      </c>
      <c r="L29" s="4" t="s">
        <v>19</v>
      </c>
      <c r="M29" s="4" t="s">
        <v>105</v>
      </c>
      <c r="N29" s="10">
        <v>100</v>
      </c>
      <c r="O29" s="5">
        <v>4.26</v>
      </c>
      <c r="P29" s="5">
        <f t="shared" si="0"/>
        <v>426</v>
      </c>
      <c r="Q29" s="1">
        <v>3787</v>
      </c>
      <c r="R29" s="1">
        <f t="shared" si="8"/>
        <v>4847</v>
      </c>
      <c r="S29" s="1">
        <f t="shared" si="2"/>
        <v>484700</v>
      </c>
      <c r="T29" s="1">
        <f t="shared" si="3"/>
        <v>5964</v>
      </c>
      <c r="U29" s="1">
        <f t="shared" si="4"/>
        <v>596400</v>
      </c>
      <c r="V29" s="1">
        <f t="shared" si="5"/>
        <v>111700</v>
      </c>
      <c r="W29" s="14">
        <f t="shared" si="6"/>
        <v>0.18729040912139502</v>
      </c>
    </row>
    <row r="30" spans="1:23" x14ac:dyDescent="0.4">
      <c r="A30" s="4">
        <v>28</v>
      </c>
      <c r="B30" s="4" t="s">
        <v>106</v>
      </c>
      <c r="C30" s="4" t="s">
        <v>70</v>
      </c>
      <c r="D30" s="4" t="s">
        <v>120</v>
      </c>
      <c r="E30" s="4" t="s">
        <v>19</v>
      </c>
      <c r="F30" s="4" t="s">
        <v>19</v>
      </c>
      <c r="G30" s="4" t="s">
        <v>12</v>
      </c>
      <c r="H30" s="4" t="s">
        <v>107</v>
      </c>
      <c r="I30" s="4" t="s">
        <v>108</v>
      </c>
      <c r="J30" s="4" t="s">
        <v>109</v>
      </c>
      <c r="K30" s="12" t="s">
        <v>109</v>
      </c>
      <c r="L30" s="4" t="s">
        <v>19</v>
      </c>
      <c r="M30" s="4" t="s">
        <v>110</v>
      </c>
      <c r="N30" s="10">
        <v>50</v>
      </c>
      <c r="O30" s="5">
        <v>1.54</v>
      </c>
      <c r="P30" s="5">
        <f t="shared" si="0"/>
        <v>77</v>
      </c>
      <c r="Q30" s="1">
        <v>1363</v>
      </c>
      <c r="R30" s="1">
        <f t="shared" si="8"/>
        <v>1745</v>
      </c>
      <c r="S30" s="1">
        <f t="shared" si="2"/>
        <v>87250</v>
      </c>
      <c r="T30" s="1">
        <f t="shared" si="3"/>
        <v>2156</v>
      </c>
      <c r="U30" s="1">
        <f t="shared" si="4"/>
        <v>107800</v>
      </c>
      <c r="V30" s="1">
        <f t="shared" si="5"/>
        <v>20550</v>
      </c>
      <c r="W30" s="14">
        <f t="shared" si="6"/>
        <v>0.19063079777365491</v>
      </c>
    </row>
    <row r="31" spans="1:23" x14ac:dyDescent="0.4">
      <c r="A31" s="4">
        <v>29</v>
      </c>
      <c r="B31" s="4" t="s">
        <v>126</v>
      </c>
      <c r="C31" s="4" t="s">
        <v>70</v>
      </c>
      <c r="D31" s="4" t="s">
        <v>120</v>
      </c>
      <c r="E31" s="4"/>
      <c r="F31" s="4" t="s">
        <v>11</v>
      </c>
      <c r="G31" s="4" t="s">
        <v>45</v>
      </c>
      <c r="H31" s="4" t="s">
        <v>127</v>
      </c>
      <c r="I31" s="4" t="s">
        <v>128</v>
      </c>
      <c r="J31" s="4" t="s">
        <v>126</v>
      </c>
      <c r="K31" s="12">
        <v>2244103140</v>
      </c>
      <c r="L31" s="4" t="s">
        <v>11</v>
      </c>
      <c r="M31" s="4" t="s">
        <v>72</v>
      </c>
      <c r="N31" s="10">
        <v>83</v>
      </c>
      <c r="O31" s="5">
        <v>6.3</v>
      </c>
      <c r="P31" s="5">
        <f t="shared" si="0"/>
        <v>522.9</v>
      </c>
      <c r="Q31" s="1">
        <v>5303</v>
      </c>
      <c r="R31" s="1">
        <f t="shared" si="8"/>
        <v>6788</v>
      </c>
      <c r="S31" s="1">
        <f t="shared" si="2"/>
        <v>563404</v>
      </c>
      <c r="T31" s="1">
        <f t="shared" si="3"/>
        <v>8820</v>
      </c>
      <c r="U31" s="1">
        <f t="shared" si="4"/>
        <v>732060</v>
      </c>
      <c r="V31" s="1">
        <f t="shared" si="5"/>
        <v>168656</v>
      </c>
      <c r="W31" s="14">
        <f t="shared" si="6"/>
        <v>0.23038548752834467</v>
      </c>
    </row>
    <row r="32" spans="1:23" x14ac:dyDescent="0.4">
      <c r="A32" s="4">
        <v>30</v>
      </c>
      <c r="B32" s="4" t="s">
        <v>129</v>
      </c>
      <c r="C32" s="4" t="s">
        <v>70</v>
      </c>
      <c r="D32" s="4" t="s">
        <v>120</v>
      </c>
      <c r="E32" s="4"/>
      <c r="F32" s="4" t="s">
        <v>19</v>
      </c>
      <c r="G32" s="4" t="s">
        <v>45</v>
      </c>
      <c r="H32" s="4" t="s">
        <v>130</v>
      </c>
      <c r="I32" s="4" t="s">
        <v>131</v>
      </c>
      <c r="J32" s="4" t="s">
        <v>129</v>
      </c>
      <c r="K32" s="12" t="s">
        <v>129</v>
      </c>
      <c r="L32" s="4" t="s">
        <v>19</v>
      </c>
      <c r="M32" s="4" t="s">
        <v>72</v>
      </c>
      <c r="N32" s="10">
        <v>184</v>
      </c>
      <c r="O32" s="5">
        <v>7.6499999999999995</v>
      </c>
      <c r="P32" s="5">
        <f t="shared" si="0"/>
        <v>1407.6</v>
      </c>
      <c r="Q32" s="1">
        <v>6439</v>
      </c>
      <c r="R32" s="1">
        <f t="shared" si="8"/>
        <v>8242</v>
      </c>
      <c r="S32" s="1">
        <f t="shared" si="2"/>
        <v>1516528</v>
      </c>
      <c r="T32" s="1">
        <f t="shared" si="3"/>
        <v>10710</v>
      </c>
      <c r="U32" s="1">
        <f t="shared" si="4"/>
        <v>1970640</v>
      </c>
      <c r="V32" s="1">
        <f t="shared" si="5"/>
        <v>454112</v>
      </c>
      <c r="W32" s="14">
        <f t="shared" si="6"/>
        <v>0.23043884220354807</v>
      </c>
    </row>
    <row r="33" spans="1:23" x14ac:dyDescent="0.4">
      <c r="A33" s="4">
        <v>31</v>
      </c>
      <c r="B33" s="4" t="s">
        <v>146</v>
      </c>
      <c r="C33" s="4" t="s">
        <v>70</v>
      </c>
      <c r="D33" s="4" t="s">
        <v>120</v>
      </c>
      <c r="E33" s="4" t="s">
        <v>19</v>
      </c>
      <c r="F33" s="4" t="s">
        <v>19</v>
      </c>
      <c r="G33" s="4" t="s">
        <v>12</v>
      </c>
      <c r="H33" s="4" t="s">
        <v>147</v>
      </c>
      <c r="I33" s="4" t="s">
        <v>148</v>
      </c>
      <c r="J33" s="4" t="s">
        <v>146</v>
      </c>
      <c r="K33" s="12">
        <v>2132142042</v>
      </c>
      <c r="L33" s="4" t="s">
        <v>19</v>
      </c>
      <c r="M33" s="4" t="s">
        <v>105</v>
      </c>
      <c r="N33" s="10">
        <v>394</v>
      </c>
      <c r="O33" s="5">
        <v>3.2399999999999998</v>
      </c>
      <c r="P33" s="5">
        <f t="shared" si="0"/>
        <v>1276.56</v>
      </c>
      <c r="Q33" s="1">
        <v>2727</v>
      </c>
      <c r="R33" s="1">
        <f t="shared" si="8"/>
        <v>3491</v>
      </c>
      <c r="S33" s="1">
        <f t="shared" si="2"/>
        <v>1375454</v>
      </c>
      <c r="T33" s="1">
        <f t="shared" si="3"/>
        <v>4536</v>
      </c>
      <c r="U33" s="1">
        <f t="shared" si="4"/>
        <v>1787184</v>
      </c>
      <c r="V33" s="1">
        <f t="shared" si="5"/>
        <v>411730</v>
      </c>
      <c r="W33" s="14">
        <f t="shared" si="6"/>
        <v>0.23037918871252205</v>
      </c>
    </row>
    <row r="34" spans="1:23" x14ac:dyDescent="0.4">
      <c r="A34" s="4">
        <v>32</v>
      </c>
      <c r="B34" s="4" t="s">
        <v>149</v>
      </c>
      <c r="C34" s="4" t="s">
        <v>70</v>
      </c>
      <c r="D34" s="4" t="s">
        <v>120</v>
      </c>
      <c r="E34" s="4" t="s">
        <v>19</v>
      </c>
      <c r="F34" s="4" t="s">
        <v>19</v>
      </c>
      <c r="G34" s="4" t="s">
        <v>12</v>
      </c>
      <c r="H34" s="4" t="s">
        <v>150</v>
      </c>
      <c r="I34" s="4" t="s">
        <v>151</v>
      </c>
      <c r="J34" s="4" t="s">
        <v>149</v>
      </c>
      <c r="K34" s="12" t="s">
        <v>149</v>
      </c>
      <c r="L34" s="4" t="s">
        <v>19</v>
      </c>
      <c r="M34" s="4" t="s">
        <v>105</v>
      </c>
      <c r="N34" s="10">
        <v>37</v>
      </c>
      <c r="O34" s="5">
        <v>4.93</v>
      </c>
      <c r="P34" s="5">
        <f t="shared" si="0"/>
        <v>182.41</v>
      </c>
      <c r="Q34" s="1">
        <v>4147</v>
      </c>
      <c r="R34" s="1">
        <f t="shared" si="8"/>
        <v>5308</v>
      </c>
      <c r="S34" s="1">
        <f t="shared" si="2"/>
        <v>196396</v>
      </c>
      <c r="T34" s="1">
        <f t="shared" si="3"/>
        <v>6902</v>
      </c>
      <c r="U34" s="1">
        <f t="shared" si="4"/>
        <v>255374</v>
      </c>
      <c r="V34" s="1">
        <f t="shared" si="5"/>
        <v>58978</v>
      </c>
      <c r="W34" s="14">
        <f t="shared" si="6"/>
        <v>0.23094755143436685</v>
      </c>
    </row>
    <row r="35" spans="1:23" x14ac:dyDescent="0.4">
      <c r="A35" s="4">
        <v>33</v>
      </c>
      <c r="B35" s="4" t="s">
        <v>194</v>
      </c>
      <c r="C35" s="4" t="s">
        <v>70</v>
      </c>
      <c r="D35" s="4" t="s">
        <v>120</v>
      </c>
      <c r="E35" s="4" t="s">
        <v>195</v>
      </c>
      <c r="F35" s="4" t="s">
        <v>195</v>
      </c>
      <c r="G35" s="4" t="s">
        <v>12</v>
      </c>
      <c r="H35" s="4" t="s">
        <v>196</v>
      </c>
      <c r="I35" s="4" t="s">
        <v>197</v>
      </c>
      <c r="J35" s="4" t="s">
        <v>194</v>
      </c>
      <c r="K35" s="12" t="s">
        <v>194</v>
      </c>
      <c r="L35" s="4" t="s">
        <v>195</v>
      </c>
      <c r="M35" s="4" t="s">
        <v>198</v>
      </c>
      <c r="N35" s="10">
        <v>10</v>
      </c>
      <c r="O35" s="5">
        <v>58.92</v>
      </c>
      <c r="P35" s="5">
        <f t="shared" ref="P35:P66" si="9">+N35*O35</f>
        <v>589.20000000000005</v>
      </c>
      <c r="Q35" s="1">
        <v>49621</v>
      </c>
      <c r="R35" s="1">
        <f t="shared" si="8"/>
        <v>63515</v>
      </c>
      <c r="S35" s="1">
        <f t="shared" si="2"/>
        <v>635150</v>
      </c>
      <c r="T35" s="1">
        <f t="shared" si="3"/>
        <v>82488</v>
      </c>
      <c r="U35" s="1">
        <f t="shared" si="4"/>
        <v>824880</v>
      </c>
      <c r="V35" s="1">
        <f t="shared" si="5"/>
        <v>189730</v>
      </c>
      <c r="W35" s="14">
        <f t="shared" si="6"/>
        <v>0.23000921346135195</v>
      </c>
    </row>
    <row r="36" spans="1:23" x14ac:dyDescent="0.4">
      <c r="A36" s="4">
        <v>34</v>
      </c>
      <c r="B36" s="4" t="s">
        <v>199</v>
      </c>
      <c r="C36" s="4" t="s">
        <v>70</v>
      </c>
      <c r="D36" s="4" t="s">
        <v>120</v>
      </c>
      <c r="E36" s="4" t="s">
        <v>42</v>
      </c>
      <c r="F36" s="4" t="s">
        <v>42</v>
      </c>
      <c r="G36" s="4" t="s">
        <v>12</v>
      </c>
      <c r="H36" s="4" t="s">
        <v>48</v>
      </c>
      <c r="I36" s="4" t="s">
        <v>49</v>
      </c>
      <c r="J36" s="4" t="s">
        <v>199</v>
      </c>
      <c r="K36" s="12" t="s">
        <v>199</v>
      </c>
      <c r="L36" s="4" t="s">
        <v>42</v>
      </c>
      <c r="M36" s="4" t="s">
        <v>198</v>
      </c>
      <c r="N36" s="10">
        <v>9</v>
      </c>
      <c r="O36" s="5">
        <v>61.89</v>
      </c>
      <c r="P36" s="5">
        <f t="shared" si="9"/>
        <v>557.01</v>
      </c>
      <c r="Q36" s="1">
        <v>52121</v>
      </c>
      <c r="R36" s="1">
        <f t="shared" si="8"/>
        <v>66715</v>
      </c>
      <c r="S36" s="1">
        <f t="shared" si="2"/>
        <v>600435</v>
      </c>
      <c r="T36" s="1">
        <f t="shared" si="3"/>
        <v>86646</v>
      </c>
      <c r="U36" s="1">
        <f t="shared" si="4"/>
        <v>779814</v>
      </c>
      <c r="V36" s="1">
        <f t="shared" si="5"/>
        <v>179379</v>
      </c>
      <c r="W36" s="14">
        <f t="shared" si="6"/>
        <v>0.23002792973709116</v>
      </c>
    </row>
    <row r="37" spans="1:23" x14ac:dyDescent="0.4">
      <c r="A37" s="4">
        <v>35</v>
      </c>
      <c r="B37" s="4" t="s">
        <v>200</v>
      </c>
      <c r="C37" s="4" t="s">
        <v>70</v>
      </c>
      <c r="D37" s="4" t="s">
        <v>120</v>
      </c>
      <c r="E37" s="4" t="s">
        <v>195</v>
      </c>
      <c r="F37" s="4"/>
      <c r="G37" s="4" t="s">
        <v>37</v>
      </c>
      <c r="H37" s="4" t="s">
        <v>48</v>
      </c>
      <c r="I37" s="4" t="s">
        <v>49</v>
      </c>
      <c r="J37" s="4" t="s">
        <v>200</v>
      </c>
      <c r="K37" s="12" t="s">
        <v>200</v>
      </c>
      <c r="L37" s="4" t="s">
        <v>195</v>
      </c>
      <c r="M37" s="4" t="s">
        <v>198</v>
      </c>
      <c r="N37" s="10">
        <v>10</v>
      </c>
      <c r="O37" s="5">
        <v>46.6</v>
      </c>
      <c r="P37" s="5">
        <f t="shared" si="9"/>
        <v>466</v>
      </c>
      <c r="Q37" s="1">
        <v>39242</v>
      </c>
      <c r="R37" s="1">
        <f t="shared" si="8"/>
        <v>50230</v>
      </c>
      <c r="S37" s="1">
        <f t="shared" si="2"/>
        <v>502300</v>
      </c>
      <c r="T37" s="1">
        <f t="shared" si="3"/>
        <v>65240</v>
      </c>
      <c r="U37" s="1">
        <f t="shared" si="4"/>
        <v>652400</v>
      </c>
      <c r="V37" s="1">
        <f t="shared" si="5"/>
        <v>150100</v>
      </c>
      <c r="W37" s="14">
        <f t="shared" si="6"/>
        <v>0.23007357449417534</v>
      </c>
    </row>
    <row r="38" spans="1:23" x14ac:dyDescent="0.4">
      <c r="A38" s="4">
        <v>36</v>
      </c>
      <c r="B38" s="4" t="s">
        <v>201</v>
      </c>
      <c r="C38" s="4" t="s">
        <v>70</v>
      </c>
      <c r="D38" s="4" t="s">
        <v>120</v>
      </c>
      <c r="E38" s="4" t="s">
        <v>195</v>
      </c>
      <c r="F38" s="4" t="s">
        <v>195</v>
      </c>
      <c r="G38" s="4" t="s">
        <v>12</v>
      </c>
      <c r="H38" s="4" t="s">
        <v>97</v>
      </c>
      <c r="I38" s="4" t="s">
        <v>98</v>
      </c>
      <c r="J38" s="4" t="s">
        <v>201</v>
      </c>
      <c r="K38" s="12" t="s">
        <v>201</v>
      </c>
      <c r="L38" s="4" t="s">
        <v>195</v>
      </c>
      <c r="M38" s="4" t="s">
        <v>198</v>
      </c>
      <c r="N38" s="10">
        <v>10</v>
      </c>
      <c r="O38" s="5">
        <v>39.85</v>
      </c>
      <c r="P38" s="5">
        <f t="shared" si="9"/>
        <v>398.5</v>
      </c>
      <c r="Q38" s="1">
        <v>33560</v>
      </c>
      <c r="R38" s="1">
        <f t="shared" si="8"/>
        <v>42957</v>
      </c>
      <c r="S38" s="1">
        <f t="shared" si="2"/>
        <v>429570</v>
      </c>
      <c r="T38" s="1">
        <f t="shared" si="3"/>
        <v>55790</v>
      </c>
      <c r="U38" s="1">
        <f t="shared" si="4"/>
        <v>557900</v>
      </c>
      <c r="V38" s="1">
        <f t="shared" si="5"/>
        <v>128330</v>
      </c>
      <c r="W38" s="14">
        <f t="shared" si="6"/>
        <v>0.23002330166696541</v>
      </c>
    </row>
    <row r="39" spans="1:23" x14ac:dyDescent="0.4">
      <c r="A39" s="4">
        <v>37</v>
      </c>
      <c r="B39" s="4" t="s">
        <v>202</v>
      </c>
      <c r="C39" s="4" t="s">
        <v>70</v>
      </c>
      <c r="D39" s="4" t="s">
        <v>120</v>
      </c>
      <c r="E39" s="4" t="s">
        <v>195</v>
      </c>
      <c r="F39" s="4" t="s">
        <v>195</v>
      </c>
      <c r="G39" s="4" t="s">
        <v>12</v>
      </c>
      <c r="H39" s="4" t="s">
        <v>203</v>
      </c>
      <c r="I39" s="4" t="s">
        <v>204</v>
      </c>
      <c r="J39" s="4" t="s">
        <v>202</v>
      </c>
      <c r="K39" s="12" t="s">
        <v>202</v>
      </c>
      <c r="L39" s="4" t="s">
        <v>195</v>
      </c>
      <c r="M39" s="4" t="s">
        <v>198</v>
      </c>
      <c r="N39" s="10">
        <v>10</v>
      </c>
      <c r="O39" s="5">
        <v>39.31</v>
      </c>
      <c r="P39" s="5">
        <f t="shared" si="9"/>
        <v>393.1</v>
      </c>
      <c r="Q39" s="1">
        <v>33106</v>
      </c>
      <c r="R39" s="1">
        <f t="shared" si="8"/>
        <v>42376</v>
      </c>
      <c r="S39" s="1">
        <f t="shared" si="2"/>
        <v>423760</v>
      </c>
      <c r="T39" s="1">
        <f t="shared" si="3"/>
        <v>55034</v>
      </c>
      <c r="U39" s="1">
        <f t="shared" si="4"/>
        <v>550340</v>
      </c>
      <c r="V39" s="1">
        <f t="shared" si="5"/>
        <v>126580</v>
      </c>
      <c r="W39" s="14">
        <f t="shared" si="6"/>
        <v>0.23000327070538212</v>
      </c>
    </row>
    <row r="40" spans="1:23" x14ac:dyDescent="0.4">
      <c r="A40" s="4">
        <v>38</v>
      </c>
      <c r="B40" s="4" t="s">
        <v>242</v>
      </c>
      <c r="C40" s="4" t="s">
        <v>36</v>
      </c>
      <c r="D40" s="4" t="s">
        <v>120</v>
      </c>
      <c r="E40" s="4" t="s">
        <v>42</v>
      </c>
      <c r="F40" s="4" t="s">
        <v>42</v>
      </c>
      <c r="G40" s="4" t="s">
        <v>12</v>
      </c>
      <c r="H40" s="4" t="s">
        <v>243</v>
      </c>
      <c r="I40" s="4" t="s">
        <v>244</v>
      </c>
      <c r="J40" s="4" t="s">
        <v>242</v>
      </c>
      <c r="K40" s="12" t="s">
        <v>242</v>
      </c>
      <c r="L40" s="4" t="s">
        <v>42</v>
      </c>
      <c r="M40" s="4" t="s">
        <v>245</v>
      </c>
      <c r="N40" s="10">
        <v>10</v>
      </c>
      <c r="O40" s="5">
        <v>12.69</v>
      </c>
      <c r="P40" s="5">
        <f t="shared" si="9"/>
        <v>126.89999999999999</v>
      </c>
      <c r="Q40" s="1">
        <v>10682</v>
      </c>
      <c r="R40" s="1">
        <f t="shared" si="8"/>
        <v>13673</v>
      </c>
      <c r="S40" s="1">
        <f t="shared" si="2"/>
        <v>136730</v>
      </c>
      <c r="T40" s="1">
        <f t="shared" si="3"/>
        <v>17766</v>
      </c>
      <c r="U40" s="1">
        <f t="shared" si="4"/>
        <v>177660</v>
      </c>
      <c r="V40" s="1">
        <f t="shared" si="5"/>
        <v>40930</v>
      </c>
      <c r="W40" s="14">
        <f t="shared" si="6"/>
        <v>0.23038387932004953</v>
      </c>
    </row>
    <row r="41" spans="1:23" x14ac:dyDescent="0.4">
      <c r="A41" s="4">
        <v>39</v>
      </c>
      <c r="B41" s="4" t="s">
        <v>246</v>
      </c>
      <c r="C41" s="4" t="s">
        <v>32</v>
      </c>
      <c r="D41" s="4" t="s">
        <v>120</v>
      </c>
      <c r="E41" s="4" t="s">
        <v>42</v>
      </c>
      <c r="F41" s="4" t="s">
        <v>42</v>
      </c>
      <c r="G41" s="4" t="s">
        <v>12</v>
      </c>
      <c r="H41" s="4" t="s">
        <v>66</v>
      </c>
      <c r="I41" s="4"/>
      <c r="J41" s="4" t="s">
        <v>246</v>
      </c>
      <c r="K41" s="12" t="s">
        <v>246</v>
      </c>
      <c r="L41" s="4" t="s">
        <v>42</v>
      </c>
      <c r="M41" s="4" t="s">
        <v>247</v>
      </c>
      <c r="N41" s="10">
        <v>10</v>
      </c>
      <c r="O41" s="5">
        <v>59.01</v>
      </c>
      <c r="P41" s="5">
        <f t="shared" si="9"/>
        <v>590.1</v>
      </c>
      <c r="Q41" s="1">
        <v>49696</v>
      </c>
      <c r="R41" s="1">
        <f t="shared" si="8"/>
        <v>63611</v>
      </c>
      <c r="S41" s="1">
        <f t="shared" si="2"/>
        <v>636110</v>
      </c>
      <c r="T41" s="1">
        <f t="shared" si="3"/>
        <v>82614</v>
      </c>
      <c r="U41" s="1">
        <f t="shared" si="4"/>
        <v>826140</v>
      </c>
      <c r="V41" s="1">
        <f t="shared" si="5"/>
        <v>190030</v>
      </c>
      <c r="W41" s="14">
        <f t="shared" si="6"/>
        <v>0.23002154598494201</v>
      </c>
    </row>
    <row r="42" spans="1:23" x14ac:dyDescent="0.4">
      <c r="A42" s="4">
        <v>40</v>
      </c>
      <c r="B42" s="4" t="s">
        <v>251</v>
      </c>
      <c r="C42" s="4" t="s">
        <v>70</v>
      </c>
      <c r="D42" s="4" t="s">
        <v>120</v>
      </c>
      <c r="E42" s="4" t="s">
        <v>42</v>
      </c>
      <c r="F42" s="4" t="s">
        <v>42</v>
      </c>
      <c r="G42" s="4" t="s">
        <v>12</v>
      </c>
      <c r="H42" s="4" t="s">
        <v>53</v>
      </c>
      <c r="I42" s="4" t="s">
        <v>54</v>
      </c>
      <c r="J42" s="4" t="s">
        <v>251</v>
      </c>
      <c r="K42" s="12" t="s">
        <v>251</v>
      </c>
      <c r="L42" s="4" t="s">
        <v>42</v>
      </c>
      <c r="M42" s="4" t="s">
        <v>252</v>
      </c>
      <c r="N42" s="10">
        <v>12</v>
      </c>
      <c r="O42" s="5">
        <v>16.290000000000003</v>
      </c>
      <c r="P42" s="5">
        <f t="shared" si="9"/>
        <v>195.48000000000002</v>
      </c>
      <c r="Q42" s="1">
        <v>13712</v>
      </c>
      <c r="R42" s="1">
        <f t="shared" si="8"/>
        <v>17551</v>
      </c>
      <c r="S42" s="1">
        <f t="shared" si="2"/>
        <v>210612</v>
      </c>
      <c r="T42" s="1">
        <f t="shared" si="3"/>
        <v>22806.000000000004</v>
      </c>
      <c r="U42" s="1">
        <f t="shared" si="4"/>
        <v>273672.00000000006</v>
      </c>
      <c r="V42" s="1">
        <f t="shared" si="5"/>
        <v>63060.000000000058</v>
      </c>
      <c r="W42" s="14">
        <f t="shared" si="6"/>
        <v>0.23042181881960905</v>
      </c>
    </row>
    <row r="43" spans="1:23" x14ac:dyDescent="0.4">
      <c r="A43" s="4">
        <v>41</v>
      </c>
      <c r="B43" s="4" t="s">
        <v>253</v>
      </c>
      <c r="C43" s="4" t="s">
        <v>70</v>
      </c>
      <c r="D43" s="4" t="s">
        <v>120</v>
      </c>
      <c r="E43" s="4" t="s">
        <v>19</v>
      </c>
      <c r="F43" s="4" t="s">
        <v>19</v>
      </c>
      <c r="G43" s="4" t="s">
        <v>12</v>
      </c>
      <c r="H43" s="4" t="s">
        <v>13</v>
      </c>
      <c r="I43" s="4" t="s">
        <v>14</v>
      </c>
      <c r="J43" s="4" t="s">
        <v>253</v>
      </c>
      <c r="K43" s="12" t="s">
        <v>253</v>
      </c>
      <c r="L43" s="4" t="s">
        <v>19</v>
      </c>
      <c r="M43" s="4" t="s">
        <v>72</v>
      </c>
      <c r="N43" s="10">
        <v>50</v>
      </c>
      <c r="O43" s="5">
        <v>6.12</v>
      </c>
      <c r="P43" s="5">
        <f t="shared" si="9"/>
        <v>306</v>
      </c>
      <c r="Q43" s="1">
        <v>5151</v>
      </c>
      <c r="R43" s="1">
        <f t="shared" si="8"/>
        <v>6593</v>
      </c>
      <c r="S43" s="1">
        <f t="shared" si="2"/>
        <v>329650</v>
      </c>
      <c r="T43" s="1">
        <f t="shared" si="3"/>
        <v>8568</v>
      </c>
      <c r="U43" s="1">
        <f t="shared" si="4"/>
        <v>428400</v>
      </c>
      <c r="V43" s="1">
        <f t="shared" si="5"/>
        <v>98750</v>
      </c>
      <c r="W43" s="14">
        <f t="shared" si="6"/>
        <v>0.23050887021475258</v>
      </c>
    </row>
    <row r="44" spans="1:23" x14ac:dyDescent="0.4">
      <c r="A44" s="4">
        <v>42</v>
      </c>
      <c r="B44" s="4" t="s">
        <v>157</v>
      </c>
      <c r="C44" s="4" t="s">
        <v>158</v>
      </c>
      <c r="D44" s="4" t="s">
        <v>159</v>
      </c>
      <c r="E44" s="4" t="s">
        <v>19</v>
      </c>
      <c r="F44" s="4" t="s">
        <v>19</v>
      </c>
      <c r="G44" s="4" t="s">
        <v>12</v>
      </c>
      <c r="H44" s="4" t="s">
        <v>150</v>
      </c>
      <c r="I44" s="4" t="s">
        <v>151</v>
      </c>
      <c r="J44" s="4" t="s">
        <v>157</v>
      </c>
      <c r="K44" s="12">
        <v>9771328240</v>
      </c>
      <c r="L44" s="4" t="s">
        <v>19</v>
      </c>
      <c r="M44" s="4" t="s">
        <v>160</v>
      </c>
      <c r="N44" s="10">
        <v>100</v>
      </c>
      <c r="O44" s="5">
        <v>7.3</v>
      </c>
      <c r="P44" s="5">
        <f t="shared" si="9"/>
        <v>730</v>
      </c>
      <c r="Q44" s="1">
        <v>6285</v>
      </c>
      <c r="R44" s="1">
        <f>ROUND(Q44*1.04,0)</f>
        <v>6536</v>
      </c>
      <c r="S44" s="1">
        <f t="shared" si="2"/>
        <v>653600</v>
      </c>
      <c r="T44" s="1">
        <f t="shared" si="3"/>
        <v>10220</v>
      </c>
      <c r="U44" s="1">
        <f t="shared" si="4"/>
        <v>1022000</v>
      </c>
      <c r="V44" s="1">
        <f t="shared" si="5"/>
        <v>368400</v>
      </c>
      <c r="W44" s="14">
        <f t="shared" si="6"/>
        <v>0.36046966731898239</v>
      </c>
    </row>
    <row r="45" spans="1:23" x14ac:dyDescent="0.4">
      <c r="A45" s="4">
        <v>43</v>
      </c>
      <c r="B45" s="4" t="s">
        <v>254</v>
      </c>
      <c r="C45" s="4" t="s">
        <v>255</v>
      </c>
      <c r="D45" s="4" t="s">
        <v>159</v>
      </c>
      <c r="E45" s="4" t="s">
        <v>19</v>
      </c>
      <c r="F45" s="4" t="s">
        <v>19</v>
      </c>
      <c r="G45" s="4" t="s">
        <v>12</v>
      </c>
      <c r="H45" s="4" t="s">
        <v>34</v>
      </c>
      <c r="I45" s="4" t="s">
        <v>35</v>
      </c>
      <c r="J45" s="4" t="s">
        <v>254</v>
      </c>
      <c r="K45" s="12">
        <v>1885510060</v>
      </c>
      <c r="L45" s="4" t="s">
        <v>19</v>
      </c>
      <c r="M45" s="4" t="s">
        <v>256</v>
      </c>
      <c r="N45" s="10">
        <v>400</v>
      </c>
      <c r="O45" s="5">
        <v>1.94</v>
      </c>
      <c r="P45" s="5">
        <f t="shared" si="9"/>
        <v>776</v>
      </c>
      <c r="Q45" s="1">
        <v>1666</v>
      </c>
      <c r="R45" s="1">
        <f>ROUND(Q45*1.04,0)</f>
        <v>1733</v>
      </c>
      <c r="S45" s="1">
        <f t="shared" si="2"/>
        <v>693200</v>
      </c>
      <c r="T45" s="1">
        <f t="shared" si="3"/>
        <v>2716</v>
      </c>
      <c r="U45" s="1">
        <f t="shared" si="4"/>
        <v>1086400</v>
      </c>
      <c r="V45" s="1">
        <f t="shared" si="5"/>
        <v>393200</v>
      </c>
      <c r="W45" s="14">
        <f t="shared" si="6"/>
        <v>0.36192930780559646</v>
      </c>
    </row>
    <row r="46" spans="1:23" x14ac:dyDescent="0.4">
      <c r="A46" s="4">
        <v>44</v>
      </c>
      <c r="B46" s="4" t="s">
        <v>258</v>
      </c>
      <c r="C46" s="4" t="s">
        <v>261</v>
      </c>
      <c r="D46" s="4" t="s">
        <v>159</v>
      </c>
      <c r="E46" s="4" t="s">
        <v>42</v>
      </c>
      <c r="F46" s="4" t="s">
        <v>42</v>
      </c>
      <c r="G46" s="4" t="s">
        <v>12</v>
      </c>
      <c r="H46" s="4" t="s">
        <v>38</v>
      </c>
      <c r="I46" s="4"/>
      <c r="J46" s="4" t="s">
        <v>259</v>
      </c>
      <c r="K46" s="12" t="s">
        <v>259</v>
      </c>
      <c r="L46" s="4" t="s">
        <v>42</v>
      </c>
      <c r="M46" s="4" t="s">
        <v>260</v>
      </c>
      <c r="N46" s="10">
        <v>20</v>
      </c>
      <c r="O46" s="5">
        <v>48.78</v>
      </c>
      <c r="P46" s="5">
        <f t="shared" si="9"/>
        <v>975.6</v>
      </c>
      <c r="Q46" s="1">
        <v>41894</v>
      </c>
      <c r="R46" s="1">
        <f>ROUND(Q46*1.04,0)</f>
        <v>43570</v>
      </c>
      <c r="S46" s="1">
        <f t="shared" si="2"/>
        <v>871400</v>
      </c>
      <c r="T46" s="1">
        <f t="shared" si="3"/>
        <v>68292</v>
      </c>
      <c r="U46" s="1">
        <f t="shared" si="4"/>
        <v>1365840</v>
      </c>
      <c r="V46" s="1">
        <f t="shared" si="5"/>
        <v>494440</v>
      </c>
      <c r="W46" s="14">
        <f t="shared" si="6"/>
        <v>0.3620043343290576</v>
      </c>
    </row>
    <row r="47" spans="1:23" x14ac:dyDescent="0.4">
      <c r="A47" s="4">
        <v>45</v>
      </c>
      <c r="B47" s="4" t="s">
        <v>17</v>
      </c>
      <c r="C47" s="4" t="s">
        <v>18</v>
      </c>
      <c r="D47" s="4" t="s">
        <v>121</v>
      </c>
      <c r="E47" s="4" t="s">
        <v>19</v>
      </c>
      <c r="F47" s="4" t="s">
        <v>19</v>
      </c>
      <c r="G47" s="4" t="s">
        <v>12</v>
      </c>
      <c r="H47" s="4" t="s">
        <v>20</v>
      </c>
      <c r="I47" s="4" t="s">
        <v>21</v>
      </c>
      <c r="J47" s="4" t="s">
        <v>22</v>
      </c>
      <c r="K47" s="12">
        <v>2550023010</v>
      </c>
      <c r="L47" s="4" t="s">
        <v>19</v>
      </c>
      <c r="M47" s="4" t="s">
        <v>23</v>
      </c>
      <c r="N47" s="10">
        <v>30</v>
      </c>
      <c r="O47" s="5">
        <v>6.91</v>
      </c>
      <c r="P47" s="5">
        <f t="shared" si="9"/>
        <v>207.3</v>
      </c>
      <c r="Q47" s="1">
        <v>6136</v>
      </c>
      <c r="R47" s="1">
        <f t="shared" ref="R47:R72" si="10">ROUND(Q47*1.28,0)</f>
        <v>7854</v>
      </c>
      <c r="S47" s="1">
        <f t="shared" si="2"/>
        <v>235620</v>
      </c>
      <c r="T47" s="1">
        <f t="shared" si="3"/>
        <v>9674</v>
      </c>
      <c r="U47" s="1">
        <f t="shared" si="4"/>
        <v>290220</v>
      </c>
      <c r="V47" s="1">
        <f t="shared" si="5"/>
        <v>54600</v>
      </c>
      <c r="W47" s="14">
        <f t="shared" si="6"/>
        <v>0.18813314037626627</v>
      </c>
    </row>
    <row r="48" spans="1:23" x14ac:dyDescent="0.4">
      <c r="A48" s="4">
        <v>46</v>
      </c>
      <c r="B48" s="4" t="s">
        <v>137</v>
      </c>
      <c r="C48" s="4" t="s">
        <v>138</v>
      </c>
      <c r="D48" s="4" t="s">
        <v>121</v>
      </c>
      <c r="E48" s="4" t="s">
        <v>42</v>
      </c>
      <c r="F48" s="4" t="s">
        <v>42</v>
      </c>
      <c r="G48" s="4" t="s">
        <v>12</v>
      </c>
      <c r="H48" s="4" t="s">
        <v>107</v>
      </c>
      <c r="I48" s="4" t="s">
        <v>108</v>
      </c>
      <c r="J48" s="4" t="s">
        <v>137</v>
      </c>
      <c r="K48" s="12" t="s">
        <v>137</v>
      </c>
      <c r="L48" s="4" t="s">
        <v>42</v>
      </c>
      <c r="M48" s="4" t="s">
        <v>139</v>
      </c>
      <c r="N48" s="10">
        <v>18</v>
      </c>
      <c r="O48" s="5">
        <v>35.089999999999996</v>
      </c>
      <c r="P48" s="5">
        <f t="shared" si="9"/>
        <v>631.61999999999989</v>
      </c>
      <c r="Q48" s="1">
        <v>29545</v>
      </c>
      <c r="R48" s="1">
        <f t="shared" si="10"/>
        <v>37818</v>
      </c>
      <c r="S48" s="1">
        <f t="shared" si="2"/>
        <v>680724</v>
      </c>
      <c r="T48" s="1">
        <f t="shared" si="3"/>
        <v>49125.999999999993</v>
      </c>
      <c r="U48" s="1">
        <f t="shared" si="4"/>
        <v>884267.99999999988</v>
      </c>
      <c r="V48" s="1">
        <f t="shared" si="5"/>
        <v>203543.99999999988</v>
      </c>
      <c r="W48" s="14">
        <f t="shared" si="6"/>
        <v>0.23018360949395422</v>
      </c>
    </row>
    <row r="49" spans="1:23" x14ac:dyDescent="0.4">
      <c r="A49" s="4">
        <v>47</v>
      </c>
      <c r="B49" s="4" t="s">
        <v>142</v>
      </c>
      <c r="C49" s="4" t="s">
        <v>143</v>
      </c>
      <c r="D49" s="4" t="s">
        <v>121</v>
      </c>
      <c r="E49" s="4"/>
      <c r="F49" s="4" t="s">
        <v>11</v>
      </c>
      <c r="G49" s="4" t="s">
        <v>45</v>
      </c>
      <c r="H49" s="4" t="s">
        <v>46</v>
      </c>
      <c r="I49" s="4"/>
      <c r="J49" s="4" t="s">
        <v>142</v>
      </c>
      <c r="K49" s="12" t="s">
        <v>142</v>
      </c>
      <c r="L49" s="4" t="s">
        <v>11</v>
      </c>
      <c r="M49" s="4" t="s">
        <v>110</v>
      </c>
      <c r="N49" s="10">
        <v>95</v>
      </c>
      <c r="O49" s="5">
        <v>0.81</v>
      </c>
      <c r="P49" s="5">
        <f t="shared" si="9"/>
        <v>76.95</v>
      </c>
      <c r="Q49" s="1">
        <v>682</v>
      </c>
      <c r="R49" s="1">
        <f t="shared" si="10"/>
        <v>873</v>
      </c>
      <c r="S49" s="1">
        <f t="shared" si="2"/>
        <v>82935</v>
      </c>
      <c r="T49" s="1">
        <f t="shared" si="3"/>
        <v>1134</v>
      </c>
      <c r="U49" s="1">
        <f t="shared" si="4"/>
        <v>107730</v>
      </c>
      <c r="V49" s="1">
        <f t="shared" si="5"/>
        <v>24795</v>
      </c>
      <c r="W49" s="14">
        <f t="shared" si="6"/>
        <v>0.23015873015873015</v>
      </c>
    </row>
    <row r="50" spans="1:23" x14ac:dyDescent="0.4">
      <c r="A50" s="4">
        <v>48</v>
      </c>
      <c r="B50" s="4" t="s">
        <v>144</v>
      </c>
      <c r="C50" s="4" t="s">
        <v>143</v>
      </c>
      <c r="D50" s="4" t="s">
        <v>121</v>
      </c>
      <c r="E50" s="4"/>
      <c r="F50" s="4" t="s">
        <v>19</v>
      </c>
      <c r="G50" s="4" t="s">
        <v>45</v>
      </c>
      <c r="H50" s="4" t="s">
        <v>46</v>
      </c>
      <c r="I50" s="4"/>
      <c r="J50" s="4" t="s">
        <v>144</v>
      </c>
      <c r="K50" s="12" t="s">
        <v>144</v>
      </c>
      <c r="L50" s="4" t="s">
        <v>19</v>
      </c>
      <c r="M50" s="4" t="s">
        <v>145</v>
      </c>
      <c r="N50" s="10">
        <v>30</v>
      </c>
      <c r="O50" s="5">
        <v>0.99</v>
      </c>
      <c r="P50" s="5">
        <f t="shared" si="9"/>
        <v>29.7</v>
      </c>
      <c r="Q50" s="1">
        <v>833</v>
      </c>
      <c r="R50" s="1">
        <f t="shared" si="10"/>
        <v>1066</v>
      </c>
      <c r="S50" s="1">
        <f t="shared" si="2"/>
        <v>31980</v>
      </c>
      <c r="T50" s="1">
        <f t="shared" si="3"/>
        <v>1386</v>
      </c>
      <c r="U50" s="1">
        <f t="shared" si="4"/>
        <v>41580</v>
      </c>
      <c r="V50" s="1">
        <f t="shared" si="5"/>
        <v>9600</v>
      </c>
      <c r="W50" s="14">
        <f t="shared" si="6"/>
        <v>0.23088023088023088</v>
      </c>
    </row>
    <row r="51" spans="1:23" x14ac:dyDescent="0.4">
      <c r="A51" s="4">
        <v>49</v>
      </c>
      <c r="B51" s="4" t="s">
        <v>185</v>
      </c>
      <c r="C51" s="4" t="s">
        <v>186</v>
      </c>
      <c r="D51" s="4" t="s">
        <v>121</v>
      </c>
      <c r="E51" s="4"/>
      <c r="F51" s="4" t="s">
        <v>11</v>
      </c>
      <c r="G51" s="4" t="s">
        <v>45</v>
      </c>
      <c r="H51" s="4" t="s">
        <v>187</v>
      </c>
      <c r="I51" s="4" t="s">
        <v>188</v>
      </c>
      <c r="J51" s="4" t="s">
        <v>185</v>
      </c>
      <c r="K51" s="12" t="s">
        <v>185</v>
      </c>
      <c r="L51" s="4" t="s">
        <v>11</v>
      </c>
      <c r="M51" s="4" t="s">
        <v>189</v>
      </c>
      <c r="N51" s="10">
        <v>13</v>
      </c>
      <c r="O51" s="5">
        <v>3.5199999999999996</v>
      </c>
      <c r="P51" s="5">
        <f t="shared" si="9"/>
        <v>45.759999999999991</v>
      </c>
      <c r="Q51" s="1">
        <v>2962</v>
      </c>
      <c r="R51" s="1">
        <f t="shared" si="10"/>
        <v>3791</v>
      </c>
      <c r="S51" s="1">
        <f t="shared" si="2"/>
        <v>49283</v>
      </c>
      <c r="T51" s="1">
        <f t="shared" si="3"/>
        <v>4927.9999999999991</v>
      </c>
      <c r="U51" s="1">
        <f t="shared" si="4"/>
        <v>64063.999999999985</v>
      </c>
      <c r="V51" s="1">
        <f t="shared" si="5"/>
        <v>14780.999999999985</v>
      </c>
      <c r="W51" s="14">
        <f t="shared" si="6"/>
        <v>0.23072240259740243</v>
      </c>
    </row>
    <row r="52" spans="1:23" x14ac:dyDescent="0.4">
      <c r="A52" s="4">
        <v>50</v>
      </c>
      <c r="B52" s="4" t="s">
        <v>190</v>
      </c>
      <c r="C52" s="4" t="s">
        <v>191</v>
      </c>
      <c r="D52" s="4" t="s">
        <v>121</v>
      </c>
      <c r="E52" s="4" t="s">
        <v>19</v>
      </c>
      <c r="F52" s="4" t="s">
        <v>19</v>
      </c>
      <c r="G52" s="4" t="s">
        <v>12</v>
      </c>
      <c r="H52" s="4" t="s">
        <v>192</v>
      </c>
      <c r="I52" s="4"/>
      <c r="J52" s="4" t="s">
        <v>190</v>
      </c>
      <c r="K52" s="12" t="s">
        <v>190</v>
      </c>
      <c r="L52" s="4" t="s">
        <v>19</v>
      </c>
      <c r="M52" s="4" t="s">
        <v>193</v>
      </c>
      <c r="N52" s="10">
        <v>19</v>
      </c>
      <c r="O52" s="5">
        <v>6.0299999999999994</v>
      </c>
      <c r="P52" s="5">
        <f t="shared" si="9"/>
        <v>114.57</v>
      </c>
      <c r="Q52" s="1">
        <v>5075</v>
      </c>
      <c r="R52" s="1">
        <f t="shared" si="10"/>
        <v>6496</v>
      </c>
      <c r="S52" s="1">
        <f t="shared" si="2"/>
        <v>123424</v>
      </c>
      <c r="T52" s="1">
        <f t="shared" si="3"/>
        <v>8442</v>
      </c>
      <c r="U52" s="1">
        <f t="shared" si="4"/>
        <v>160398</v>
      </c>
      <c r="V52" s="1">
        <f t="shared" si="5"/>
        <v>36974</v>
      </c>
      <c r="W52" s="14">
        <f t="shared" si="6"/>
        <v>0.23051409618573798</v>
      </c>
    </row>
    <row r="53" spans="1:23" x14ac:dyDescent="0.4">
      <c r="A53" s="4">
        <v>51</v>
      </c>
      <c r="B53" s="4" t="s">
        <v>205</v>
      </c>
      <c r="C53" s="4" t="s">
        <v>206</v>
      </c>
      <c r="D53" s="4" t="s">
        <v>121</v>
      </c>
      <c r="E53" s="4" t="s">
        <v>19</v>
      </c>
      <c r="F53" s="4" t="s">
        <v>19</v>
      </c>
      <c r="G53" s="4" t="s">
        <v>12</v>
      </c>
      <c r="H53" s="4" t="s">
        <v>48</v>
      </c>
      <c r="I53" s="4" t="s">
        <v>49</v>
      </c>
      <c r="J53" s="4" t="s">
        <v>205</v>
      </c>
      <c r="K53" s="12" t="s">
        <v>205</v>
      </c>
      <c r="L53" s="4" t="s">
        <v>19</v>
      </c>
      <c r="M53" s="4" t="s">
        <v>207</v>
      </c>
      <c r="N53" s="10">
        <v>210</v>
      </c>
      <c r="O53" s="5">
        <v>4.2299999999999995</v>
      </c>
      <c r="P53" s="5">
        <f t="shared" si="9"/>
        <v>888.3</v>
      </c>
      <c r="Q53" s="1">
        <v>3560</v>
      </c>
      <c r="R53" s="1">
        <f t="shared" si="10"/>
        <v>4557</v>
      </c>
      <c r="S53" s="1">
        <f t="shared" si="2"/>
        <v>956970</v>
      </c>
      <c r="T53" s="1">
        <f t="shared" si="3"/>
        <v>5921.9999999999991</v>
      </c>
      <c r="U53" s="1">
        <f t="shared" si="4"/>
        <v>1243619.9999999998</v>
      </c>
      <c r="V53" s="1">
        <f t="shared" si="5"/>
        <v>286649.99999999977</v>
      </c>
      <c r="W53" s="14">
        <f t="shared" si="6"/>
        <v>0.23049645390070908</v>
      </c>
    </row>
    <row r="54" spans="1:23" x14ac:dyDescent="0.4">
      <c r="A54" s="4">
        <v>52</v>
      </c>
      <c r="B54" s="4" t="s">
        <v>231</v>
      </c>
      <c r="C54" s="4" t="s">
        <v>186</v>
      </c>
      <c r="D54" s="4" t="s">
        <v>121</v>
      </c>
      <c r="E54" s="4"/>
      <c r="F54" s="4" t="s">
        <v>42</v>
      </c>
      <c r="G54" s="4" t="s">
        <v>45</v>
      </c>
      <c r="H54" s="4" t="s">
        <v>232</v>
      </c>
      <c r="I54" s="4" t="s">
        <v>233</v>
      </c>
      <c r="J54" s="4" t="s">
        <v>231</v>
      </c>
      <c r="K54" s="12" t="s">
        <v>231</v>
      </c>
      <c r="L54" s="4" t="s">
        <v>42</v>
      </c>
      <c r="M54" s="4" t="s">
        <v>234</v>
      </c>
      <c r="N54" s="10">
        <v>4</v>
      </c>
      <c r="O54" s="5">
        <v>38.68</v>
      </c>
      <c r="P54" s="5">
        <f t="shared" si="9"/>
        <v>154.72</v>
      </c>
      <c r="Q54" s="1">
        <v>32575</v>
      </c>
      <c r="R54" s="1">
        <f t="shared" si="10"/>
        <v>41696</v>
      </c>
      <c r="S54" s="1">
        <f t="shared" si="2"/>
        <v>166784</v>
      </c>
      <c r="T54" s="1">
        <f t="shared" si="3"/>
        <v>54152</v>
      </c>
      <c r="U54" s="1">
        <f t="shared" si="4"/>
        <v>216608</v>
      </c>
      <c r="V54" s="1">
        <f t="shared" si="5"/>
        <v>49824</v>
      </c>
      <c r="W54" s="14">
        <f t="shared" si="6"/>
        <v>0.23001920520017727</v>
      </c>
    </row>
    <row r="55" spans="1:23" x14ac:dyDescent="0.4">
      <c r="A55" s="4">
        <v>53</v>
      </c>
      <c r="B55" s="4" t="s">
        <v>248</v>
      </c>
      <c r="C55" s="4" t="s">
        <v>206</v>
      </c>
      <c r="D55" s="4" t="s">
        <v>121</v>
      </c>
      <c r="E55" s="4"/>
      <c r="F55" s="4" t="s">
        <v>11</v>
      </c>
      <c r="G55" s="4" t="s">
        <v>45</v>
      </c>
      <c r="H55" s="4" t="s">
        <v>249</v>
      </c>
      <c r="I55" s="4"/>
      <c r="J55" s="4" t="s">
        <v>248</v>
      </c>
      <c r="K55" s="12" t="s">
        <v>248</v>
      </c>
      <c r="L55" s="4" t="s">
        <v>11</v>
      </c>
      <c r="M55" s="4" t="s">
        <v>250</v>
      </c>
      <c r="N55" s="10">
        <v>30</v>
      </c>
      <c r="O55" s="5">
        <v>0.63</v>
      </c>
      <c r="P55" s="5">
        <f t="shared" si="9"/>
        <v>18.899999999999999</v>
      </c>
      <c r="Q55" s="1">
        <v>530</v>
      </c>
      <c r="R55" s="1">
        <f t="shared" si="10"/>
        <v>678</v>
      </c>
      <c r="S55" s="1">
        <f t="shared" si="2"/>
        <v>20340</v>
      </c>
      <c r="T55" s="1">
        <f t="shared" si="3"/>
        <v>882</v>
      </c>
      <c r="U55" s="1">
        <f t="shared" si="4"/>
        <v>26460</v>
      </c>
      <c r="V55" s="1">
        <f t="shared" si="5"/>
        <v>6120</v>
      </c>
      <c r="W55" s="14">
        <f t="shared" si="6"/>
        <v>0.23129251700680273</v>
      </c>
    </row>
    <row r="56" spans="1:23" x14ac:dyDescent="0.4">
      <c r="A56" s="4">
        <v>54</v>
      </c>
      <c r="B56" s="4" t="s">
        <v>51</v>
      </c>
      <c r="C56" s="4" t="s">
        <v>52</v>
      </c>
      <c r="D56" s="4"/>
      <c r="E56" s="4" t="s">
        <v>42</v>
      </c>
      <c r="F56" s="4" t="s">
        <v>42</v>
      </c>
      <c r="G56" s="4" t="s">
        <v>12</v>
      </c>
      <c r="H56" s="4" t="s">
        <v>53</v>
      </c>
      <c r="I56" s="4" t="s">
        <v>54</v>
      </c>
      <c r="J56" s="4" t="s">
        <v>55</v>
      </c>
      <c r="K56" s="12" t="s">
        <v>55</v>
      </c>
      <c r="L56" s="4" t="s">
        <v>42</v>
      </c>
      <c r="M56" s="4" t="s">
        <v>56</v>
      </c>
      <c r="N56" s="10">
        <v>20</v>
      </c>
      <c r="O56" s="5">
        <v>34.589999999999996</v>
      </c>
      <c r="P56" s="5">
        <f t="shared" si="9"/>
        <v>691.8</v>
      </c>
      <c r="Q56" s="1">
        <v>30757</v>
      </c>
      <c r="R56" s="1">
        <f t="shared" si="10"/>
        <v>39369</v>
      </c>
      <c r="S56" s="1">
        <f t="shared" si="2"/>
        <v>787380</v>
      </c>
      <c r="T56" s="1">
        <f t="shared" si="3"/>
        <v>48425.999999999993</v>
      </c>
      <c r="U56" s="1">
        <f t="shared" si="4"/>
        <v>968519.99999999988</v>
      </c>
      <c r="V56" s="1">
        <f t="shared" si="5"/>
        <v>181139.99999999988</v>
      </c>
      <c r="W56" s="14">
        <f t="shared" si="6"/>
        <v>0.18702762978565224</v>
      </c>
    </row>
    <row r="57" spans="1:23" x14ac:dyDescent="0.4">
      <c r="A57" s="4">
        <v>55</v>
      </c>
      <c r="B57" s="4" t="s">
        <v>60</v>
      </c>
      <c r="C57" s="4" t="s">
        <v>61</v>
      </c>
      <c r="D57" s="4"/>
      <c r="E57" s="4" t="s">
        <v>19</v>
      </c>
      <c r="F57" s="4" t="s">
        <v>19</v>
      </c>
      <c r="G57" s="4" t="s">
        <v>12</v>
      </c>
      <c r="H57" s="4" t="s">
        <v>13</v>
      </c>
      <c r="I57" s="4" t="s">
        <v>14</v>
      </c>
      <c r="J57" s="4" t="s">
        <v>62</v>
      </c>
      <c r="K57" s="12" t="s">
        <v>62</v>
      </c>
      <c r="L57" s="4" t="s">
        <v>19</v>
      </c>
      <c r="M57" s="4" t="s">
        <v>63</v>
      </c>
      <c r="N57" s="10">
        <v>100</v>
      </c>
      <c r="O57" s="5">
        <v>8.9499999999999993</v>
      </c>
      <c r="P57" s="5">
        <f t="shared" si="9"/>
        <v>894.99999999999989</v>
      </c>
      <c r="Q57" s="1">
        <v>7954</v>
      </c>
      <c r="R57" s="1">
        <f t="shared" si="10"/>
        <v>10181</v>
      </c>
      <c r="S57" s="1">
        <f t="shared" si="2"/>
        <v>1018100</v>
      </c>
      <c r="T57" s="1">
        <f t="shared" si="3"/>
        <v>12529.999999999998</v>
      </c>
      <c r="U57" s="1">
        <f t="shared" si="4"/>
        <v>1252999.9999999998</v>
      </c>
      <c r="V57" s="1">
        <f t="shared" si="5"/>
        <v>234899.99999999977</v>
      </c>
      <c r="W57" s="14">
        <f t="shared" si="6"/>
        <v>0.18747007182761358</v>
      </c>
    </row>
    <row r="58" spans="1:23" x14ac:dyDescent="0.4">
      <c r="A58" s="4">
        <v>56</v>
      </c>
      <c r="B58" s="4" t="s">
        <v>64</v>
      </c>
      <c r="C58" s="4" t="s">
        <v>65</v>
      </c>
      <c r="D58" s="4"/>
      <c r="E58" s="4" t="s">
        <v>42</v>
      </c>
      <c r="F58" s="4" t="s">
        <v>42</v>
      </c>
      <c r="G58" s="4" t="s">
        <v>12</v>
      </c>
      <c r="H58" s="4" t="s">
        <v>66</v>
      </c>
      <c r="I58" s="4"/>
      <c r="J58" s="4" t="s">
        <v>67</v>
      </c>
      <c r="K58" s="12" t="s">
        <v>67</v>
      </c>
      <c r="L58" s="4" t="s">
        <v>42</v>
      </c>
      <c r="M58" s="4" t="s">
        <v>68</v>
      </c>
      <c r="N58" s="10">
        <v>20</v>
      </c>
      <c r="O58" s="5">
        <v>17.040000000000003</v>
      </c>
      <c r="P58" s="5">
        <f t="shared" si="9"/>
        <v>340.80000000000007</v>
      </c>
      <c r="Q58" s="1">
        <v>15151</v>
      </c>
      <c r="R58" s="1">
        <f t="shared" si="10"/>
        <v>19393</v>
      </c>
      <c r="S58" s="1">
        <f t="shared" si="2"/>
        <v>387860</v>
      </c>
      <c r="T58" s="1">
        <f t="shared" si="3"/>
        <v>23856.000000000004</v>
      </c>
      <c r="U58" s="1">
        <f t="shared" si="4"/>
        <v>477120.00000000006</v>
      </c>
      <c r="V58" s="1">
        <f t="shared" si="5"/>
        <v>89260.000000000058</v>
      </c>
      <c r="W58" s="14">
        <f t="shared" si="6"/>
        <v>0.18708081824279019</v>
      </c>
    </row>
    <row r="59" spans="1:23" x14ac:dyDescent="0.4">
      <c r="A59" s="4">
        <v>57</v>
      </c>
      <c r="B59" s="4" t="s">
        <v>111</v>
      </c>
      <c r="C59" s="4" t="s">
        <v>112</v>
      </c>
      <c r="D59" s="4"/>
      <c r="E59" s="4" t="s">
        <v>19</v>
      </c>
      <c r="F59" s="4" t="s">
        <v>19</v>
      </c>
      <c r="G59" s="4" t="s">
        <v>12</v>
      </c>
      <c r="H59" s="4" t="s">
        <v>102</v>
      </c>
      <c r="I59" s="4" t="s">
        <v>103</v>
      </c>
      <c r="J59" s="4" t="s">
        <v>113</v>
      </c>
      <c r="K59" s="12">
        <v>4524526210</v>
      </c>
      <c r="L59" s="4" t="s">
        <v>19</v>
      </c>
      <c r="M59" s="4" t="s">
        <v>110</v>
      </c>
      <c r="N59" s="10">
        <v>50</v>
      </c>
      <c r="O59" s="5">
        <v>1.28</v>
      </c>
      <c r="P59" s="5">
        <f t="shared" si="9"/>
        <v>64</v>
      </c>
      <c r="Q59" s="1">
        <v>1136</v>
      </c>
      <c r="R59" s="1">
        <f t="shared" si="10"/>
        <v>1454</v>
      </c>
      <c r="S59" s="1">
        <f t="shared" si="2"/>
        <v>72700</v>
      </c>
      <c r="T59" s="1">
        <f t="shared" si="3"/>
        <v>1792</v>
      </c>
      <c r="U59" s="1">
        <f t="shared" si="4"/>
        <v>89600</v>
      </c>
      <c r="V59" s="1">
        <f t="shared" si="5"/>
        <v>16900</v>
      </c>
      <c r="W59" s="14">
        <f t="shared" si="6"/>
        <v>0.18861607142857142</v>
      </c>
    </row>
    <row r="60" spans="1:23" x14ac:dyDescent="0.4">
      <c r="A60" s="4">
        <v>58</v>
      </c>
      <c r="B60" s="4" t="s">
        <v>132</v>
      </c>
      <c r="C60" s="4" t="s">
        <v>133</v>
      </c>
      <c r="D60" s="4"/>
      <c r="E60" s="4" t="s">
        <v>19</v>
      </c>
      <c r="F60" s="4" t="s">
        <v>19</v>
      </c>
      <c r="G60" s="4" t="s">
        <v>12</v>
      </c>
      <c r="H60" s="4" t="s">
        <v>134</v>
      </c>
      <c r="I60" s="4" t="s">
        <v>135</v>
      </c>
      <c r="J60" s="4" t="s">
        <v>132</v>
      </c>
      <c r="K60" s="12" t="s">
        <v>132</v>
      </c>
      <c r="L60" s="4" t="s">
        <v>19</v>
      </c>
      <c r="M60" s="4" t="s">
        <v>136</v>
      </c>
      <c r="N60" s="10">
        <v>28</v>
      </c>
      <c r="O60" s="5">
        <v>2.4299999999999997</v>
      </c>
      <c r="P60" s="5">
        <f t="shared" si="9"/>
        <v>68.039999999999992</v>
      </c>
      <c r="Q60" s="1">
        <v>2045</v>
      </c>
      <c r="R60" s="1">
        <f t="shared" si="10"/>
        <v>2618</v>
      </c>
      <c r="S60" s="1">
        <f t="shared" si="2"/>
        <v>73304</v>
      </c>
      <c r="T60" s="1">
        <f t="shared" si="3"/>
        <v>3401.9999999999995</v>
      </c>
      <c r="U60" s="1">
        <f t="shared" si="4"/>
        <v>95255.999999999985</v>
      </c>
      <c r="V60" s="1">
        <f t="shared" si="5"/>
        <v>21951.999999999985</v>
      </c>
      <c r="W60" s="14">
        <f t="shared" si="6"/>
        <v>0.23045267489711924</v>
      </c>
    </row>
    <row r="61" spans="1:23" x14ac:dyDescent="0.4">
      <c r="A61" s="4">
        <v>59</v>
      </c>
      <c r="B61" s="4" t="s">
        <v>116</v>
      </c>
      <c r="C61" s="4" t="s">
        <v>112</v>
      </c>
      <c r="D61" s="4"/>
      <c r="E61" s="4" t="s">
        <v>19</v>
      </c>
      <c r="F61" s="4" t="s">
        <v>19</v>
      </c>
      <c r="G61" s="4" t="s">
        <v>12</v>
      </c>
      <c r="H61" s="4" t="s">
        <v>114</v>
      </c>
      <c r="I61" s="4" t="s">
        <v>115</v>
      </c>
      <c r="J61" s="4" t="s">
        <v>116</v>
      </c>
      <c r="K61" s="12">
        <v>4613136002</v>
      </c>
      <c r="L61" s="4" t="s">
        <v>19</v>
      </c>
      <c r="M61" s="4" t="s">
        <v>110</v>
      </c>
      <c r="N61" s="10">
        <v>40</v>
      </c>
      <c r="O61" s="5">
        <v>1.08</v>
      </c>
      <c r="P61" s="5">
        <f t="shared" si="9"/>
        <v>43.2</v>
      </c>
      <c r="Q61" s="1">
        <v>909</v>
      </c>
      <c r="R61" s="1">
        <f t="shared" si="10"/>
        <v>1164</v>
      </c>
      <c r="S61" s="1">
        <f t="shared" si="2"/>
        <v>46560</v>
      </c>
      <c r="T61" s="1">
        <f t="shared" si="3"/>
        <v>1512</v>
      </c>
      <c r="U61" s="1">
        <f t="shared" si="4"/>
        <v>60480</v>
      </c>
      <c r="V61" s="1">
        <f t="shared" si="5"/>
        <v>13920</v>
      </c>
      <c r="W61" s="14">
        <f t="shared" si="6"/>
        <v>0.23015873015873015</v>
      </c>
    </row>
    <row r="62" spans="1:23" x14ac:dyDescent="0.4">
      <c r="A62" s="4">
        <v>60</v>
      </c>
      <c r="B62" s="4" t="s">
        <v>140</v>
      </c>
      <c r="C62" s="4" t="s">
        <v>112</v>
      </c>
      <c r="D62" s="4"/>
      <c r="E62" s="4" t="s">
        <v>19</v>
      </c>
      <c r="F62" s="4" t="s">
        <v>19</v>
      </c>
      <c r="G62" s="4" t="s">
        <v>12</v>
      </c>
      <c r="H62" s="4" t="s">
        <v>66</v>
      </c>
      <c r="I62" s="4"/>
      <c r="J62" s="4" t="s">
        <v>140</v>
      </c>
      <c r="K62" s="12" t="s">
        <v>140</v>
      </c>
      <c r="L62" s="4" t="s">
        <v>19</v>
      </c>
      <c r="M62" s="4" t="s">
        <v>110</v>
      </c>
      <c r="N62" s="10">
        <v>22</v>
      </c>
      <c r="O62" s="5">
        <v>2.0699999999999998</v>
      </c>
      <c r="P62" s="5">
        <f t="shared" si="9"/>
        <v>45.54</v>
      </c>
      <c r="Q62" s="1">
        <v>1742</v>
      </c>
      <c r="R62" s="1">
        <f t="shared" si="10"/>
        <v>2230</v>
      </c>
      <c r="S62" s="1">
        <f t="shared" si="2"/>
        <v>49060</v>
      </c>
      <c r="T62" s="1">
        <f t="shared" si="3"/>
        <v>2898</v>
      </c>
      <c r="U62" s="1">
        <f t="shared" si="4"/>
        <v>63756</v>
      </c>
      <c r="V62" s="1">
        <f t="shared" si="5"/>
        <v>14696</v>
      </c>
      <c r="W62" s="14">
        <f t="shared" si="6"/>
        <v>0.23050379572118704</v>
      </c>
    </row>
    <row r="63" spans="1:23" x14ac:dyDescent="0.4">
      <c r="A63" s="4">
        <v>61</v>
      </c>
      <c r="B63" s="4" t="s">
        <v>141</v>
      </c>
      <c r="C63" s="4" t="s">
        <v>112</v>
      </c>
      <c r="D63" s="4"/>
      <c r="E63" s="4" t="s">
        <v>19</v>
      </c>
      <c r="F63" s="4" t="s">
        <v>19</v>
      </c>
      <c r="G63" s="4" t="s">
        <v>12</v>
      </c>
      <c r="H63" s="4" t="s">
        <v>102</v>
      </c>
      <c r="I63" s="4" t="s">
        <v>103</v>
      </c>
      <c r="J63" s="4" t="s">
        <v>141</v>
      </c>
      <c r="K63" s="12">
        <v>4524526110</v>
      </c>
      <c r="L63" s="4" t="s">
        <v>19</v>
      </c>
      <c r="M63" s="4" t="s">
        <v>110</v>
      </c>
      <c r="N63" s="10">
        <v>198</v>
      </c>
      <c r="O63" s="5">
        <v>1.35</v>
      </c>
      <c r="P63" s="5">
        <f t="shared" si="9"/>
        <v>267.3</v>
      </c>
      <c r="Q63" s="1">
        <v>1136</v>
      </c>
      <c r="R63" s="1">
        <f t="shared" si="10"/>
        <v>1454</v>
      </c>
      <c r="S63" s="1">
        <f t="shared" si="2"/>
        <v>287892</v>
      </c>
      <c r="T63" s="1">
        <f t="shared" si="3"/>
        <v>1890.0000000000002</v>
      </c>
      <c r="U63" s="1">
        <f t="shared" si="4"/>
        <v>374220.00000000006</v>
      </c>
      <c r="V63" s="1">
        <f t="shared" si="5"/>
        <v>86328.000000000058</v>
      </c>
      <c r="W63" s="14">
        <f t="shared" si="6"/>
        <v>0.2306878306878308</v>
      </c>
    </row>
    <row r="64" spans="1:23" x14ac:dyDescent="0.4">
      <c r="A64" s="4">
        <v>62</v>
      </c>
      <c r="B64" s="4" t="s">
        <v>154</v>
      </c>
      <c r="C64" s="4" t="s">
        <v>61</v>
      </c>
      <c r="D64" s="4"/>
      <c r="E64" s="4" t="s">
        <v>42</v>
      </c>
      <c r="F64" s="4" t="s">
        <v>42</v>
      </c>
      <c r="G64" s="4" t="s">
        <v>12</v>
      </c>
      <c r="H64" s="4" t="s">
        <v>99</v>
      </c>
      <c r="I64" s="4" t="s">
        <v>100</v>
      </c>
      <c r="J64" s="4" t="s">
        <v>154</v>
      </c>
      <c r="K64" s="12">
        <v>3918025300</v>
      </c>
      <c r="L64" s="4" t="s">
        <v>42</v>
      </c>
      <c r="M64" s="4" t="s">
        <v>155</v>
      </c>
      <c r="N64" s="10">
        <v>29</v>
      </c>
      <c r="O64" s="5">
        <v>14.43</v>
      </c>
      <c r="P64" s="5">
        <f t="shared" si="9"/>
        <v>418.46999999999997</v>
      </c>
      <c r="Q64" s="1">
        <v>12148</v>
      </c>
      <c r="R64" s="1">
        <f t="shared" si="10"/>
        <v>15549</v>
      </c>
      <c r="S64" s="1">
        <f t="shared" si="2"/>
        <v>450921</v>
      </c>
      <c r="T64" s="1">
        <f t="shared" si="3"/>
        <v>20202</v>
      </c>
      <c r="U64" s="1">
        <f t="shared" si="4"/>
        <v>585858</v>
      </c>
      <c r="V64" s="1">
        <f t="shared" si="5"/>
        <v>134937</v>
      </c>
      <c r="W64" s="14">
        <f t="shared" si="6"/>
        <v>0.23032373032373032</v>
      </c>
    </row>
    <row r="65" spans="1:23" x14ac:dyDescent="0.4">
      <c r="A65" s="4">
        <v>63</v>
      </c>
      <c r="B65" s="4" t="s">
        <v>156</v>
      </c>
      <c r="C65" s="4" t="s">
        <v>61</v>
      </c>
      <c r="D65" s="4"/>
      <c r="E65" s="4" t="s">
        <v>19</v>
      </c>
      <c r="F65" s="4" t="s">
        <v>19</v>
      </c>
      <c r="G65" s="4" t="s">
        <v>12</v>
      </c>
      <c r="H65" s="4" t="s">
        <v>99</v>
      </c>
      <c r="I65" s="4" t="s">
        <v>100</v>
      </c>
      <c r="J65" s="4" t="s">
        <v>156</v>
      </c>
      <c r="K65" s="12">
        <v>3935025010</v>
      </c>
      <c r="L65" s="4" t="s">
        <v>19</v>
      </c>
      <c r="M65" s="4" t="s">
        <v>63</v>
      </c>
      <c r="N65" s="10">
        <v>35</v>
      </c>
      <c r="O65" s="5">
        <v>9.629999999999999</v>
      </c>
      <c r="P65" s="5">
        <f t="shared" si="9"/>
        <v>337.04999999999995</v>
      </c>
      <c r="Q65" s="1">
        <v>8106</v>
      </c>
      <c r="R65" s="1">
        <f t="shared" si="10"/>
        <v>10376</v>
      </c>
      <c r="S65" s="1">
        <f t="shared" si="2"/>
        <v>363160</v>
      </c>
      <c r="T65" s="1">
        <f t="shared" si="3"/>
        <v>13481.999999999998</v>
      </c>
      <c r="U65" s="1">
        <f t="shared" si="4"/>
        <v>471869.99999999994</v>
      </c>
      <c r="V65" s="1">
        <f t="shared" si="5"/>
        <v>108709.99999999994</v>
      </c>
      <c r="W65" s="14">
        <f t="shared" si="6"/>
        <v>0.23038124907283777</v>
      </c>
    </row>
    <row r="66" spans="1:23" x14ac:dyDescent="0.4">
      <c r="A66" s="4">
        <v>64</v>
      </c>
      <c r="B66" s="4" t="s">
        <v>208</v>
      </c>
      <c r="C66" s="4" t="s">
        <v>209</v>
      </c>
      <c r="D66" s="4"/>
      <c r="E66" s="4" t="s">
        <v>39</v>
      </c>
      <c r="F66" s="4" t="s">
        <v>39</v>
      </c>
      <c r="G66" s="4" t="s">
        <v>12</v>
      </c>
      <c r="H66" s="4" t="s">
        <v>80</v>
      </c>
      <c r="I66" s="4" t="s">
        <v>81</v>
      </c>
      <c r="J66" s="4" t="s">
        <v>208</v>
      </c>
      <c r="K66" s="12" t="s">
        <v>208</v>
      </c>
      <c r="L66" s="4" t="s">
        <v>39</v>
      </c>
      <c r="M66" s="4" t="s">
        <v>110</v>
      </c>
      <c r="N66" s="10">
        <v>25</v>
      </c>
      <c r="O66" s="5">
        <v>1.51</v>
      </c>
      <c r="P66" s="5">
        <f t="shared" si="9"/>
        <v>37.75</v>
      </c>
      <c r="Q66" s="1">
        <v>1271</v>
      </c>
      <c r="R66" s="1">
        <f t="shared" si="10"/>
        <v>1627</v>
      </c>
      <c r="S66" s="1">
        <f t="shared" si="2"/>
        <v>40675</v>
      </c>
      <c r="T66" s="1">
        <f t="shared" si="3"/>
        <v>2114</v>
      </c>
      <c r="U66" s="1">
        <f t="shared" si="4"/>
        <v>52850</v>
      </c>
      <c r="V66" s="1">
        <f t="shared" si="5"/>
        <v>12175</v>
      </c>
      <c r="W66" s="14">
        <f t="shared" si="6"/>
        <v>0.23036896877956481</v>
      </c>
    </row>
    <row r="67" spans="1:23" x14ac:dyDescent="0.4">
      <c r="A67" s="4">
        <v>65</v>
      </c>
      <c r="B67" s="4" t="s">
        <v>210</v>
      </c>
      <c r="C67" s="4" t="s">
        <v>133</v>
      </c>
      <c r="D67" s="4"/>
      <c r="E67" s="4" t="s">
        <v>19</v>
      </c>
      <c r="F67" s="4" t="s">
        <v>19</v>
      </c>
      <c r="G67" s="4" t="s">
        <v>12</v>
      </c>
      <c r="H67" s="4" t="s">
        <v>48</v>
      </c>
      <c r="I67" s="4" t="s">
        <v>49</v>
      </c>
      <c r="J67" s="4" t="s">
        <v>210</v>
      </c>
      <c r="K67" s="12" t="s">
        <v>210</v>
      </c>
      <c r="L67" s="4" t="s">
        <v>19</v>
      </c>
      <c r="M67" s="4" t="s">
        <v>211</v>
      </c>
      <c r="N67" s="10">
        <v>32</v>
      </c>
      <c r="O67" s="5">
        <v>10.26</v>
      </c>
      <c r="P67" s="5">
        <f t="shared" ref="P67:P98" si="11">+N67*O67</f>
        <v>328.32</v>
      </c>
      <c r="Q67" s="1">
        <v>8636</v>
      </c>
      <c r="R67" s="1">
        <f t="shared" si="10"/>
        <v>11054</v>
      </c>
      <c r="S67" s="1">
        <f t="shared" si="2"/>
        <v>353728</v>
      </c>
      <c r="T67" s="1">
        <f t="shared" si="3"/>
        <v>14364</v>
      </c>
      <c r="U67" s="1">
        <f t="shared" si="4"/>
        <v>459648</v>
      </c>
      <c r="V67" s="1">
        <f t="shared" si="5"/>
        <v>105920</v>
      </c>
      <c r="W67" s="14">
        <f t="shared" si="6"/>
        <v>0.23043720412141463</v>
      </c>
    </row>
    <row r="68" spans="1:23" x14ac:dyDescent="0.4">
      <c r="A68" s="4">
        <v>66</v>
      </c>
      <c r="B68" s="4" t="s">
        <v>212</v>
      </c>
      <c r="C68" s="4" t="s">
        <v>112</v>
      </c>
      <c r="D68" s="4"/>
      <c r="E68" s="4" t="s">
        <v>19</v>
      </c>
      <c r="F68" s="4" t="s">
        <v>19</v>
      </c>
      <c r="G68" s="4" t="s">
        <v>12</v>
      </c>
      <c r="H68" s="4" t="s">
        <v>107</v>
      </c>
      <c r="I68" s="4" t="s">
        <v>108</v>
      </c>
      <c r="J68" s="4" t="s">
        <v>212</v>
      </c>
      <c r="K68" s="12" t="s">
        <v>212</v>
      </c>
      <c r="L68" s="4" t="s">
        <v>19</v>
      </c>
      <c r="M68" s="4" t="s">
        <v>110</v>
      </c>
      <c r="N68" s="10">
        <v>200</v>
      </c>
      <c r="O68" s="5">
        <v>1.08</v>
      </c>
      <c r="P68" s="5">
        <f t="shared" si="11"/>
        <v>216</v>
      </c>
      <c r="Q68" s="1">
        <v>909</v>
      </c>
      <c r="R68" s="1">
        <f t="shared" si="10"/>
        <v>1164</v>
      </c>
      <c r="S68" s="1">
        <f t="shared" ref="S68:S72" si="12">+R68*N68</f>
        <v>232800</v>
      </c>
      <c r="T68" s="1">
        <f t="shared" ref="T68:T72" si="13">+O68*$T$1</f>
        <v>1512</v>
      </c>
      <c r="U68" s="1">
        <f t="shared" ref="U68:U72" si="14">+T68*N68</f>
        <v>302400</v>
      </c>
      <c r="V68" s="1">
        <f t="shared" ref="V68:V72" si="15">+U68-S68</f>
        <v>69600</v>
      </c>
      <c r="W68" s="14">
        <f t="shared" ref="W68:W72" si="16">+V68/U68</f>
        <v>0.23015873015873015</v>
      </c>
    </row>
    <row r="69" spans="1:23" x14ac:dyDescent="0.4">
      <c r="A69" s="4">
        <v>67</v>
      </c>
      <c r="B69" s="4" t="s">
        <v>213</v>
      </c>
      <c r="C69" s="4" t="s">
        <v>214</v>
      </c>
      <c r="D69" s="4"/>
      <c r="E69" s="4"/>
      <c r="F69" s="4" t="s">
        <v>19</v>
      </c>
      <c r="G69" s="4" t="s">
        <v>45</v>
      </c>
      <c r="H69" s="4" t="s">
        <v>215</v>
      </c>
      <c r="I69" s="4" t="s">
        <v>216</v>
      </c>
      <c r="J69" s="4" t="s">
        <v>213</v>
      </c>
      <c r="K69" s="12" t="s">
        <v>213</v>
      </c>
      <c r="L69" s="4" t="s">
        <v>19</v>
      </c>
      <c r="M69" s="4" t="s">
        <v>217</v>
      </c>
      <c r="N69" s="10">
        <v>7</v>
      </c>
      <c r="O69" s="5">
        <v>13.59</v>
      </c>
      <c r="P69" s="5">
        <f t="shared" si="11"/>
        <v>95.13</v>
      </c>
      <c r="Q69" s="1">
        <v>11439</v>
      </c>
      <c r="R69" s="1">
        <f t="shared" si="10"/>
        <v>14642</v>
      </c>
      <c r="S69" s="1">
        <f t="shared" si="12"/>
        <v>102494</v>
      </c>
      <c r="T69" s="1">
        <f t="shared" si="13"/>
        <v>19026</v>
      </c>
      <c r="U69" s="1">
        <f t="shared" si="14"/>
        <v>133182</v>
      </c>
      <c r="V69" s="1">
        <f t="shared" si="15"/>
        <v>30688</v>
      </c>
      <c r="W69" s="14">
        <f t="shared" si="16"/>
        <v>0.23042152843477348</v>
      </c>
    </row>
    <row r="70" spans="1:23" x14ac:dyDescent="0.4">
      <c r="A70" s="4">
        <v>68</v>
      </c>
      <c r="B70" s="4" t="s">
        <v>235</v>
      </c>
      <c r="C70" s="4" t="s">
        <v>236</v>
      </c>
      <c r="D70" s="4"/>
      <c r="E70" s="4" t="s">
        <v>229</v>
      </c>
      <c r="F70" s="4"/>
      <c r="G70" s="4" t="s">
        <v>37</v>
      </c>
      <c r="H70" s="4" t="s">
        <v>13</v>
      </c>
      <c r="I70" s="4" t="s">
        <v>14</v>
      </c>
      <c r="J70" s="4" t="s">
        <v>235</v>
      </c>
      <c r="K70" s="12" t="s">
        <v>235</v>
      </c>
      <c r="L70" s="4" t="s">
        <v>229</v>
      </c>
      <c r="M70" s="4" t="s">
        <v>237</v>
      </c>
      <c r="N70" s="10">
        <v>1</v>
      </c>
      <c r="O70" s="5">
        <v>36.89</v>
      </c>
      <c r="P70" s="5">
        <f t="shared" si="11"/>
        <v>36.89</v>
      </c>
      <c r="Q70" s="1">
        <v>31060</v>
      </c>
      <c r="R70" s="1">
        <f t="shared" si="10"/>
        <v>39757</v>
      </c>
      <c r="S70" s="1">
        <f t="shared" si="12"/>
        <v>39757</v>
      </c>
      <c r="T70" s="1">
        <f t="shared" si="13"/>
        <v>51646</v>
      </c>
      <c r="U70" s="1">
        <f t="shared" si="14"/>
        <v>51646</v>
      </c>
      <c r="V70" s="1">
        <f t="shared" si="15"/>
        <v>11889</v>
      </c>
      <c r="W70" s="14">
        <f t="shared" si="16"/>
        <v>0.23020175812260388</v>
      </c>
    </row>
    <row r="71" spans="1:23" x14ac:dyDescent="0.4">
      <c r="A71" s="4">
        <v>69</v>
      </c>
      <c r="B71" s="4" t="s">
        <v>238</v>
      </c>
      <c r="C71" s="4" t="s">
        <v>239</v>
      </c>
      <c r="D71" s="4"/>
      <c r="E71" s="4" t="s">
        <v>42</v>
      </c>
      <c r="F71" s="4" t="s">
        <v>42</v>
      </c>
      <c r="G71" s="4" t="s">
        <v>12</v>
      </c>
      <c r="H71" s="4" t="s">
        <v>53</v>
      </c>
      <c r="I71" s="4" t="s">
        <v>54</v>
      </c>
      <c r="J71" s="4" t="s">
        <v>238</v>
      </c>
      <c r="K71" s="12" t="s">
        <v>238</v>
      </c>
      <c r="L71" s="4" t="s">
        <v>42</v>
      </c>
      <c r="M71" s="4" t="s">
        <v>240</v>
      </c>
      <c r="N71" s="10">
        <v>4</v>
      </c>
      <c r="O71" s="5">
        <v>31.67</v>
      </c>
      <c r="P71" s="5">
        <f t="shared" si="11"/>
        <v>126.68</v>
      </c>
      <c r="Q71" s="1">
        <v>26666</v>
      </c>
      <c r="R71" s="1">
        <f t="shared" si="10"/>
        <v>34132</v>
      </c>
      <c r="S71" s="1">
        <f t="shared" si="12"/>
        <v>136528</v>
      </c>
      <c r="T71" s="1">
        <f t="shared" si="13"/>
        <v>44338</v>
      </c>
      <c r="U71" s="1">
        <f t="shared" si="14"/>
        <v>177352</v>
      </c>
      <c r="V71" s="1">
        <f t="shared" si="15"/>
        <v>40824</v>
      </c>
      <c r="W71" s="14">
        <f t="shared" si="16"/>
        <v>0.23018629617934955</v>
      </c>
    </row>
    <row r="72" spans="1:23" x14ac:dyDescent="0.4">
      <c r="A72" s="4">
        <v>70</v>
      </c>
      <c r="B72" s="4" t="s">
        <v>241</v>
      </c>
      <c r="C72" s="4" t="s">
        <v>239</v>
      </c>
      <c r="D72" s="4"/>
      <c r="E72" s="4" t="s">
        <v>42</v>
      </c>
      <c r="F72" s="4" t="s">
        <v>42</v>
      </c>
      <c r="G72" s="4" t="s">
        <v>12</v>
      </c>
      <c r="H72" s="4" t="s">
        <v>53</v>
      </c>
      <c r="I72" s="4" t="s">
        <v>54</v>
      </c>
      <c r="J72" s="4" t="s">
        <v>241</v>
      </c>
      <c r="K72" s="12" t="s">
        <v>241</v>
      </c>
      <c r="L72" s="4" t="s">
        <v>42</v>
      </c>
      <c r="M72" s="4" t="s">
        <v>240</v>
      </c>
      <c r="N72" s="10">
        <v>4</v>
      </c>
      <c r="O72" s="5">
        <v>31.67</v>
      </c>
      <c r="P72" s="5">
        <f t="shared" si="11"/>
        <v>126.68</v>
      </c>
      <c r="Q72" s="1">
        <v>26666</v>
      </c>
      <c r="R72" s="1">
        <f t="shared" si="10"/>
        <v>34132</v>
      </c>
      <c r="S72" s="1">
        <f t="shared" si="12"/>
        <v>136528</v>
      </c>
      <c r="T72" s="1">
        <f t="shared" si="13"/>
        <v>44338</v>
      </c>
      <c r="U72" s="1">
        <f t="shared" si="14"/>
        <v>177352</v>
      </c>
      <c r="V72" s="1">
        <f t="shared" si="15"/>
        <v>40824</v>
      </c>
      <c r="W72" s="14">
        <f t="shared" si="16"/>
        <v>0.23018629617934955</v>
      </c>
    </row>
  </sheetData>
  <autoFilter ref="A2:Q72" xr:uid="{00000000-0009-0000-0000-000000000000}">
    <sortState xmlns:xlrd2="http://schemas.microsoft.com/office/spreadsheetml/2017/richdata2" ref="A3:P72">
      <sortCondition ref="D2:D72"/>
    </sortState>
  </autoFilter>
  <phoneticPr fontId="2" type="noConversion"/>
  <conditionalFormatting sqref="K1:K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Park</dc:creator>
  <cp:lastModifiedBy>Dan Park</cp:lastModifiedBy>
  <dcterms:created xsi:type="dcterms:W3CDTF">2026-04-12T23:11:17Z</dcterms:created>
  <dcterms:modified xsi:type="dcterms:W3CDTF">2026-04-16T04:29:10Z</dcterms:modified>
</cp:coreProperties>
</file>